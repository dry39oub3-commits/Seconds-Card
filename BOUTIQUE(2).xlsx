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0730" windowHeight="11760" activeTab="7"/>
  </bookViews>
  <sheets>
    <sheet name="sept" sheetId="1" r:id="rId1"/>
    <sheet name="octo" sheetId="4" r:id="rId2"/>
    <sheet name="nov" sheetId="5" r:id="rId3"/>
    <sheet name="des" sheetId="6" r:id="rId4"/>
    <sheet name="JANV" sheetId="7" r:id="rId5"/>
    <sheet name="fevr" sheetId="8" r:id="rId6"/>
    <sheet name="mars" sheetId="9" r:id="rId7"/>
    <sheet name="avr" sheetId="10" r:id="rId8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6" i="10"/>
  <c r="B105"/>
  <c r="B97"/>
  <c r="B96"/>
  <c r="B92"/>
  <c r="B86"/>
  <c r="B79"/>
  <c r="B72"/>
  <c r="B65"/>
  <c r="B63"/>
  <c r="B56"/>
  <c r="B47"/>
  <c r="B45"/>
  <c r="B38"/>
  <c r="B25"/>
  <c r="B19"/>
  <c r="B16"/>
  <c r="B13"/>
  <c r="B12"/>
  <c r="B9"/>
  <c r="F4"/>
  <c r="B4"/>
  <c r="F4" i="9"/>
  <c r="B25"/>
  <c r="B19"/>
  <c r="B13"/>
  <c r="B9"/>
  <c r="B4"/>
  <c r="B106"/>
  <c r="B105"/>
  <c r="B97"/>
  <c r="B96"/>
  <c r="B92"/>
  <c r="B86"/>
  <c r="B79"/>
  <c r="B72"/>
  <c r="B65"/>
  <c r="B63"/>
  <c r="B56"/>
  <c r="B47"/>
  <c r="B45"/>
  <c r="B38"/>
  <c r="B16"/>
  <c r="B12"/>
  <c r="F4" i="8"/>
  <c r="B107"/>
  <c r="B106"/>
  <c r="B98"/>
  <c r="B97"/>
  <c r="B93"/>
  <c r="B87"/>
  <c r="B80"/>
  <c r="B73"/>
  <c r="B66"/>
  <c r="B64"/>
  <c r="B57"/>
  <c r="B48"/>
  <c r="B46"/>
  <c r="B39"/>
  <c r="B27"/>
  <c r="B4"/>
  <c r="B24"/>
  <c r="B23"/>
  <c r="B21"/>
  <c r="B20"/>
  <c r="B16"/>
  <c r="B15"/>
  <c r="B13"/>
  <c r="B12"/>
  <c r="B10"/>
  <c r="B8"/>
  <c r="B7"/>
  <c r="B43" i="7"/>
  <c r="B27"/>
  <c r="B57"/>
  <c r="B50"/>
  <c r="B47"/>
  <c r="B46"/>
  <c r="B42"/>
  <c r="B37"/>
  <c r="B33"/>
  <c r="B24"/>
  <c r="B19"/>
  <c r="B17"/>
  <c r="B15"/>
  <c r="B12"/>
  <c r="B10"/>
  <c r="B6"/>
  <c r="F4"/>
  <c r="B4"/>
  <c r="B80" i="6"/>
  <c r="B75"/>
  <c r="B63"/>
  <c r="B51"/>
  <c r="B48"/>
  <c r="B44"/>
  <c r="B22"/>
  <c r="B4"/>
  <c r="B106"/>
  <c r="B102"/>
  <c r="B99"/>
  <c r="B96"/>
  <c r="B95"/>
  <c r="B87"/>
  <c r="B82"/>
  <c r="B72"/>
  <c r="B71"/>
  <c r="B67"/>
  <c r="B61"/>
  <c r="B57"/>
  <c r="B49"/>
  <c r="B38"/>
  <c r="B37"/>
  <c r="B31"/>
  <c r="B30"/>
  <c r="B27"/>
  <c r="B24"/>
  <c r="B19"/>
  <c r="B14"/>
  <c r="B11"/>
  <c r="B6"/>
  <c r="F4"/>
  <c r="B88" i="5"/>
  <c r="B79"/>
  <c r="B73"/>
  <c r="B63"/>
  <c r="B28"/>
  <c r="B25"/>
  <c r="B16"/>
  <c r="B14"/>
  <c r="B13"/>
  <c r="B6"/>
  <c r="B5"/>
  <c r="B4"/>
  <c r="B92"/>
  <c r="B86"/>
  <c r="B70"/>
  <c r="B61"/>
  <c r="B60"/>
  <c r="B55"/>
  <c r="B52"/>
  <c r="B49"/>
  <c r="B47"/>
  <c r="B45"/>
  <c r="B43"/>
  <c r="B41"/>
  <c r="B40"/>
  <c r="B38"/>
  <c r="B37"/>
  <c r="B34"/>
  <c r="B32"/>
  <c r="B30"/>
  <c r="B23"/>
  <c r="B22"/>
  <c r="B19"/>
  <c r="F4"/>
  <c r="G4" i="4"/>
  <c r="B203"/>
  <c r="B199"/>
  <c r="B197"/>
  <c r="B196"/>
  <c r="B194"/>
  <c r="B125"/>
  <c r="B119"/>
  <c r="B112"/>
  <c r="B103"/>
  <c r="B96"/>
  <c r="B86"/>
  <c r="B76"/>
  <c r="B68"/>
  <c r="B54"/>
  <c r="B46"/>
  <c r="B39"/>
  <c r="B27"/>
  <c r="B19"/>
  <c r="B4"/>
  <c r="B141"/>
  <c r="B129"/>
  <c r="G4" i="1" l="1"/>
  <c r="B192" i="4"/>
  <c r="B189"/>
  <c r="B188"/>
  <c r="B185"/>
  <c r="B179"/>
  <c r="B177"/>
  <c r="B174"/>
  <c r="B166"/>
  <c r="B160"/>
  <c r="B152"/>
  <c r="B207" i="1"/>
  <c r="B202"/>
  <c r="B194"/>
  <c r="B184" l="1"/>
  <c r="B177"/>
  <c r="B171"/>
  <c r="B166"/>
  <c r="B159"/>
  <c r="B151" l="1"/>
  <c r="B140"/>
  <c r="B130"/>
  <c r="B122"/>
  <c r="B112"/>
  <c r="B104"/>
  <c r="B97"/>
  <c r="B86"/>
  <c r="B81"/>
  <c r="B73"/>
  <c r="B66"/>
  <c r="B50"/>
  <c r="B59"/>
  <c r="B43"/>
  <c r="B36"/>
  <c r="B27"/>
  <c r="B16"/>
  <c r="B4"/>
</calcChain>
</file>

<file path=xl/sharedStrings.xml><?xml version="1.0" encoding="utf-8"?>
<sst xmlns="http://schemas.openxmlformats.org/spreadsheetml/2006/main" count="1045" uniqueCount="130">
  <si>
    <t>DATE</t>
  </si>
  <si>
    <t>CONSOMMATION</t>
  </si>
  <si>
    <t>PRIX</t>
  </si>
  <si>
    <t>TOTOL</t>
  </si>
  <si>
    <t>SBOU7</t>
  </si>
  <si>
    <t>THE</t>
  </si>
  <si>
    <t>CASH</t>
  </si>
  <si>
    <t>POULE</t>
  </si>
  <si>
    <t>LBSAL</t>
  </si>
  <si>
    <t>MYMIN</t>
  </si>
  <si>
    <t>SPAGHETI</t>
  </si>
  <si>
    <t>VAZLIN</t>
  </si>
  <si>
    <t>sucr</t>
  </si>
  <si>
    <t>lwrge</t>
  </si>
  <si>
    <t>lait</t>
  </si>
  <si>
    <t>zrig</t>
  </si>
  <si>
    <t>OMELA</t>
  </si>
  <si>
    <t>DLWIR</t>
  </si>
  <si>
    <t>L7DJ</t>
  </si>
  <si>
    <t>MARO</t>
  </si>
  <si>
    <t>Colonne1</t>
  </si>
  <si>
    <t>CHEIKHNA</t>
  </si>
  <si>
    <t>OMO</t>
  </si>
  <si>
    <t>AMPOL</t>
  </si>
  <si>
    <t>PAIN</t>
  </si>
  <si>
    <t>BSCUIT</t>
  </si>
  <si>
    <t>CHOCOLA</t>
  </si>
  <si>
    <t>AUROZOIR</t>
  </si>
  <si>
    <t>TOP</t>
  </si>
  <si>
    <t>CLINX</t>
  </si>
  <si>
    <t>BRIKET</t>
  </si>
  <si>
    <t>SABON</t>
  </si>
  <si>
    <t>TNGALL</t>
  </si>
  <si>
    <t>GAZ</t>
  </si>
  <si>
    <t>SCOTCH</t>
  </si>
  <si>
    <t>JEMPE</t>
  </si>
  <si>
    <t>L9DE</t>
  </si>
  <si>
    <t>BEUR</t>
  </si>
  <si>
    <t>LML7</t>
  </si>
  <si>
    <t>lbton</t>
  </si>
  <si>
    <t>slya</t>
  </si>
  <si>
    <t>BANKILY</t>
  </si>
  <si>
    <t>Lait</t>
  </si>
  <si>
    <t>COCA</t>
  </si>
  <si>
    <t>ZRIG</t>
  </si>
  <si>
    <t>selya</t>
  </si>
  <si>
    <t>LBN</t>
  </si>
  <si>
    <t>BUSCUIT</t>
  </si>
  <si>
    <t>LBEN</t>
  </si>
  <si>
    <t>VASELIN</t>
  </si>
  <si>
    <t>Z3VRAN</t>
  </si>
  <si>
    <t>RAYB</t>
  </si>
  <si>
    <t>BSCUITE</t>
  </si>
  <si>
    <t>gempe</t>
  </si>
  <si>
    <t>JAVEL</t>
  </si>
  <si>
    <t>CLUNIX</t>
  </si>
  <si>
    <t>bankily</t>
  </si>
  <si>
    <t>lben</t>
  </si>
  <si>
    <t>cash</t>
  </si>
  <si>
    <t>8waye</t>
  </si>
  <si>
    <t>clincx</t>
  </si>
  <si>
    <t>chocola</t>
  </si>
  <si>
    <t>au</t>
  </si>
  <si>
    <t>LIBTON</t>
  </si>
  <si>
    <t>tjm5t</t>
  </si>
  <si>
    <t>EVIENT</t>
  </si>
  <si>
    <t>3OUD</t>
  </si>
  <si>
    <t>L7DEJ</t>
  </si>
  <si>
    <t>JMPE</t>
  </si>
  <si>
    <t>MILOMILK</t>
  </si>
  <si>
    <t>sbou7</t>
  </si>
  <si>
    <t>SUCRE</t>
  </si>
  <si>
    <t>COMEND</t>
  </si>
  <si>
    <t>CLINCX</t>
  </si>
  <si>
    <t>haway</t>
  </si>
  <si>
    <t>pain</t>
  </si>
  <si>
    <t>gato</t>
  </si>
  <si>
    <t>CAFÉ</t>
  </si>
  <si>
    <t>MACRONI</t>
  </si>
  <si>
    <t>libton</t>
  </si>
  <si>
    <t>sucre</t>
  </si>
  <si>
    <t>sabon</t>
  </si>
  <si>
    <t>TOTAL</t>
  </si>
  <si>
    <t>milomilk</t>
  </si>
  <si>
    <t>stulau</t>
  </si>
  <si>
    <t>poule</t>
  </si>
  <si>
    <t>EVIEN</t>
  </si>
  <si>
    <t>gaz</t>
  </si>
  <si>
    <t>maro</t>
  </si>
  <si>
    <t>BATERI</t>
  </si>
  <si>
    <t>chipss</t>
  </si>
  <si>
    <t>clnx</t>
  </si>
  <si>
    <t>total 1495</t>
  </si>
  <si>
    <t>buscrem</t>
  </si>
  <si>
    <t>evient</t>
  </si>
  <si>
    <t>the</t>
  </si>
  <si>
    <t>bscuit</t>
  </si>
  <si>
    <t>tngal</t>
  </si>
  <si>
    <t>coca</t>
  </si>
  <si>
    <t>Total 3200</t>
  </si>
  <si>
    <t>total 3770</t>
  </si>
  <si>
    <t>l7dj</t>
  </si>
  <si>
    <t>dlwir</t>
  </si>
  <si>
    <t>total 4365</t>
  </si>
  <si>
    <t>buer</t>
  </si>
  <si>
    <t>yawr</t>
  </si>
  <si>
    <t>CLNX</t>
  </si>
  <si>
    <t>9SH6E</t>
  </si>
  <si>
    <t>5BZ</t>
  </si>
  <si>
    <t>BASSI</t>
  </si>
  <si>
    <t>YAWR</t>
  </si>
  <si>
    <t>omela</t>
  </si>
  <si>
    <t>SELIA</t>
  </si>
  <si>
    <t>3ssir</t>
  </si>
  <si>
    <t>farin</t>
  </si>
  <si>
    <t>dluir</t>
  </si>
  <si>
    <t>total</t>
  </si>
  <si>
    <t>chibs</t>
  </si>
  <si>
    <t>lby8</t>
  </si>
  <si>
    <t>lml7</t>
  </si>
  <si>
    <t>swaf</t>
  </si>
  <si>
    <t>omo</t>
  </si>
  <si>
    <t>SELYA</t>
  </si>
  <si>
    <t>batri</t>
  </si>
  <si>
    <t>eveint</t>
  </si>
  <si>
    <t>poul</t>
  </si>
  <si>
    <t>l7dej</t>
  </si>
  <si>
    <t>5bz</t>
  </si>
  <si>
    <t>kissan</t>
  </si>
  <si>
    <t>l3she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</si>
</sst>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u val="double"/>
      <sz val="28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1" applyAlignment="1">
      <alignment horizontal="center" vertical="center"/>
    </xf>
    <xf numFmtId="14" fontId="2" fillId="2" borderId="1" xfId="1" applyNumberFormat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14" fontId="2" fillId="2" borderId="8" xfId="1" applyNumberFormat="1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2" fillId="2" borderId="5" xfId="1" applyNumberForma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2" borderId="9" xfId="1" applyNumberFormat="1" applyBorder="1" applyAlignment="1">
      <alignment horizontal="center" vertical="center"/>
    </xf>
    <xf numFmtId="0" fontId="0" fillId="2" borderId="3" xfId="1" applyFont="1" applyBorder="1" applyAlignment="1">
      <alignment horizontal="center" vertical="center"/>
    </xf>
    <xf numFmtId="0" fontId="2" fillId="2" borderId="3" xfId="1" applyNumberFormat="1" applyBorder="1" applyAlignment="1">
      <alignment horizontal="center" vertical="center"/>
    </xf>
    <xf numFmtId="14" fontId="2" fillId="2" borderId="8" xfId="1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14" fontId="2" fillId="2" borderId="2" xfId="1" applyNumberForma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2" fillId="2" borderId="8" xfId="1" applyNumberFormat="1" applyBorder="1" applyAlignment="1">
      <alignment horizontal="center" vertical="center"/>
    </xf>
    <xf numFmtId="0" fontId="1" fillId="4" borderId="18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2">
    <cellStyle name="Normal" xfId="0" builtinId="0"/>
    <cellStyle name="Sortie" xfId="1" builtinId="21"/>
  </cellStyles>
  <dxfs count="110">
    <dxf>
      <border outline="0">
        <top style="thin">
          <color rgb="FF3F3F3F"/>
        </top>
      </border>
    </dxf>
    <dxf>
      <border outline="0">
        <bottom style="thin">
          <color rgb="FF3F3F3F"/>
        </bottom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numFmt numFmtId="0" formatCode="General"/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</dxf>
    <dxf>
      <numFmt numFmtId="164" formatCode="dd/mm/yyyy"/>
      <alignment horizontal="center" vertical="center" textRotation="0" wrapText="0" indent="0" relativeIndent="0" justifyLastLine="0" shrinkToFit="0" readingOrder="0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</dxf>
    <dxf>
      <numFmt numFmtId="164" formatCode="dd/mm/yyyy"/>
      <alignment horizontal="center" vertical="center" textRotation="0" wrapText="0" indent="0" relativeIndent="0" justifyLastLine="0" shrinkToFit="0" readingOrder="0"/>
    </dxf>
    <dxf>
      <border outline="0">
        <top style="thin">
          <color rgb="FF3F3F3F"/>
        </top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outline="0"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</dxf>
    <dxf>
      <numFmt numFmtId="164" formatCode="dd/mm/yyyy"/>
      <alignment horizontal="center" vertical="center" textRotation="0" wrapText="0" indent="0" relativeIndent="0" justifyLastLine="0" shrinkToFit="0" readingOrder="0"/>
    </dxf>
    <dxf>
      <border outline="0">
        <top style="thin">
          <color rgb="FF3F3F3F"/>
        </top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outline="0"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</dxf>
    <dxf>
      <numFmt numFmtId="164" formatCode="dd/mm/yyyy"/>
      <alignment horizontal="center" vertical="center" textRotation="0" wrapText="0" indent="0" relativeIndent="0" justifyLastLine="0" shrinkToFit="0" readingOrder="0"/>
    </dxf>
    <dxf>
      <border outline="0">
        <top style="thin">
          <color rgb="FF3F3F3F"/>
        </top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outline="0"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</dxf>
    <dxf>
      <numFmt numFmtId="164" formatCode="dd/mm/yyyy"/>
      <alignment horizontal="center" vertical="center" textRotation="0" wrapText="0" indent="0" relativeIndent="0" justifyLastLine="0" shrinkToFit="0" readingOrder="0"/>
    </dxf>
    <dxf>
      <border outline="0">
        <top style="thin">
          <color rgb="FF3F3F3F"/>
        </top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outline="0"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</dxf>
    <dxf>
      <numFmt numFmtId="164" formatCode="dd/mm/yyyy"/>
      <alignment horizontal="center" vertical="center" textRotation="0" wrapText="0" indent="0" relativeIndent="0" justifyLastLine="0" shrinkToFit="0" readingOrder="0"/>
    </dxf>
    <dxf>
      <border outline="0">
        <top style="thin">
          <color rgb="FF3F3F3F"/>
        </top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outline="0"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</dxf>
    <dxf>
      <numFmt numFmtId="164" formatCode="dd/mm/yyyy"/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  <border diagonalUp="0" diagonalDown="0">
        <left/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border outline="0">
        <top style="thin">
          <color rgb="FF3F3F3F"/>
        </top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outline="0"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/>
        <top style="thin">
          <color rgb="FF3F3F3F"/>
        </top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</dxf>
    <dxf>
      <numFmt numFmtId="164" formatCode="dd/mm/yyyy"/>
      <alignment horizontal="center" vertical="center" textRotation="0" wrapText="0" indent="0" relativeIndent="0" justifyLastLine="0" shrinkToFit="0" readingOrder="0"/>
    </dxf>
    <dxf>
      <alignment horizontal="center" vertical="center" textRotation="0" wrapText="0" indent="0" relativeIndent="0" justifyLastLine="0" shrinkToFit="0" readingOrder="0"/>
      <border diagonalUp="0" diagonalDown="0">
        <left/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border outline="0">
        <top style="thin">
          <color rgb="FF3F3F3F"/>
        </top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outline="0">
        <bottom style="thin">
          <color rgb="FF3F3F3F"/>
        </bottom>
      </border>
    </dxf>
    <dxf>
      <alignment horizontal="center" vertical="center" textRotation="0" wrapText="0" indent="0" relative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2" defaultTableStyle="TableStyleMedium9" defaultPivotStyle="PivotStyleLight16">
    <tableStyle name="Style de tableau 1" pivot="0" count="0"/>
    <tableStyle name="Style de tableau croisé dynamique 1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C3:G212" totalsRowShown="0" headerRowDxfId="105" headerRowBorderDxfId="104" tableBorderDxfId="103" totalsRowBorderDxfId="102">
  <autoFilter ref="C3:G212"/>
  <tableColumns count="5">
    <tableColumn id="1" name="Colonne1" dataDxfId="101" dataCellStyle="Sortie"/>
    <tableColumn id="2" name="DATE" dataDxfId="100" dataCellStyle="Sortie"/>
    <tableColumn id="3" name="CONSOMMATION" dataDxfId="99" dataCellStyle="Sortie"/>
    <tableColumn id="4" name="PRIX" dataDxfId="98" dataCellStyle="Sortie"/>
    <tableColumn id="5" name="TOTOL" dataDxfId="97" dataCellStyle="Sorti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3" displayName="Tableau13" ref="C3:G205" totalsRowShown="0" headerRowDxfId="80" headerRowBorderDxfId="79" tableBorderDxfId="78" totalsRowBorderDxfId="77">
  <autoFilter ref="C3:G205"/>
  <tableColumns count="5">
    <tableColumn id="1" name="Colonne1" dataDxfId="76" dataCellStyle="Sortie"/>
    <tableColumn id="2" name="DATE" dataDxfId="75" dataCellStyle="Sortie"/>
    <tableColumn id="3" name="CONSOMMATION" dataDxfId="74" dataCellStyle="Sortie"/>
    <tableColumn id="4" name="PRIX" dataDxfId="73" dataCellStyle="Sortie"/>
    <tableColumn id="5" name="TOTOL" dataDxfId="72" dataCellStyle="Sorti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au134" displayName="Tableau134" ref="C3:F94" totalsRowShown="0" headerRowDxfId="67" headerRowBorderDxfId="66" tableBorderDxfId="65" totalsRowBorderDxfId="64">
  <autoFilter ref="C3:F94"/>
  <tableColumns count="4">
    <tableColumn id="2" name="DATE" dataDxfId="63" dataCellStyle="Sortie"/>
    <tableColumn id="3" name="CONSOMMATION" dataDxfId="62" dataCellStyle="Sortie"/>
    <tableColumn id="4" name="PRIX" dataDxfId="61" dataCellStyle="Sortie"/>
    <tableColumn id="5" name="TOTOL" dataDxfId="60" dataCellStyle="Sorti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345" displayName="Tableau1345" ref="C3:F108" totalsRowShown="0" headerRowDxfId="55" headerRowBorderDxfId="54" tableBorderDxfId="53" totalsRowBorderDxfId="52">
  <autoFilter ref="C3:F108"/>
  <tableColumns count="4">
    <tableColumn id="2" name="DATE" dataDxfId="51" dataCellStyle="Sortie"/>
    <tableColumn id="3" name="CONSOMMATION" dataDxfId="50" dataCellStyle="Sortie"/>
    <tableColumn id="4" name="PRIX" dataDxfId="49" dataCellStyle="Sortie"/>
    <tableColumn id="5" name="TOTOL" dataDxfId="48" dataCellStyle="Sorti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3456" displayName="Tableau13456" ref="C3:F58" totalsRowShown="0" headerRowDxfId="43" headerRowBorderDxfId="42" tableBorderDxfId="41" totalsRowBorderDxfId="40">
  <autoFilter ref="C3:F58"/>
  <tableColumns count="4">
    <tableColumn id="2" name="DATE" dataDxfId="39" dataCellStyle="Sortie"/>
    <tableColumn id="3" name="CONSOMMATION" dataDxfId="38" dataCellStyle="Sortie"/>
    <tableColumn id="4" name="PRIX" dataDxfId="37" dataCellStyle="Sortie"/>
    <tableColumn id="5" name="TOTOL" dataDxfId="36" dataCellStyle="Sorti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au134567" displayName="Tableau134567" ref="C3:F135" totalsRowShown="0" headerRowDxfId="31" headerRowBorderDxfId="30" tableBorderDxfId="29" totalsRowBorderDxfId="28">
  <autoFilter ref="C3:F135"/>
  <tableColumns count="4">
    <tableColumn id="2" name="DATE" dataDxfId="27" dataCellStyle="Sortie"/>
    <tableColumn id="3" name="CONSOMMATION" dataDxfId="26" dataCellStyle="Sortie"/>
    <tableColumn id="4" name="PRIX" dataDxfId="25" dataCellStyle="Sortie"/>
    <tableColumn id="5" name="TOTOL" dataDxfId="24" dataCellStyle="Sorti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au1345678" displayName="Tableau1345678" ref="C3:F181" totalsRowShown="0" headerRowDxfId="19" headerRowBorderDxfId="18" tableBorderDxfId="17" totalsRowBorderDxfId="16">
  <autoFilter ref="C3:F181"/>
  <tableColumns count="4">
    <tableColumn id="2" name="DATE" dataDxfId="15" dataCellStyle="Sortie"/>
    <tableColumn id="3" name="CONSOMMATION" dataDxfId="14" dataCellStyle="Sortie"/>
    <tableColumn id="4" name="PRIX" dataDxfId="13" dataCellStyle="Sortie"/>
    <tableColumn id="5" name="TOTOL" dataDxfId="12" dataCellStyle="Sorti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au13456789" displayName="Tableau13456789" ref="C3:F181" totalsRowShown="0" headerRowDxfId="3" headerRowBorderDxfId="1" tableBorderDxfId="2" totalsRowBorderDxfId="0">
  <autoFilter ref="C3:F181"/>
  <tableColumns count="4">
    <tableColumn id="2" name="DATE" dataDxfId="7" dataCellStyle="Sortie"/>
    <tableColumn id="3" name="CONSOMMATION" dataDxfId="6" dataCellStyle="Sortie"/>
    <tableColumn id="4" name="PRIX" dataDxfId="5" dataCellStyle="Sortie"/>
    <tableColumn id="5" name="TOTOL" dataDxfId="4" dataCellStyle="Sorti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212"/>
  <sheetViews>
    <sheetView workbookViewId="0">
      <selection activeCell="G3" sqref="G3"/>
    </sheetView>
  </sheetViews>
  <sheetFormatPr baseColWidth="10" defaultColWidth="20.5703125" defaultRowHeight="22.5" customHeight="1"/>
  <cols>
    <col min="1" max="3" width="20.5703125" style="1"/>
    <col min="4" max="4" width="20.5703125" style="16"/>
    <col min="5" max="5" width="23.5703125" style="1" customWidth="1"/>
    <col min="6" max="16384" width="20.5703125" style="1"/>
  </cols>
  <sheetData>
    <row r="1" spans="2:9" s="2" customFormat="1" ht="22.5" customHeight="1">
      <c r="D1" s="52" t="s">
        <v>21</v>
      </c>
      <c r="E1" s="53"/>
      <c r="F1" s="54"/>
      <c r="G1" s="51">
        <v>9</v>
      </c>
    </row>
    <row r="2" spans="2:9" s="2" customFormat="1" ht="22.5" customHeight="1" thickBot="1">
      <c r="D2" s="55"/>
      <c r="E2" s="56"/>
      <c r="F2" s="57"/>
      <c r="G2" s="51"/>
    </row>
    <row r="3" spans="2:9" s="2" customFormat="1" ht="22.5" customHeight="1" thickBot="1">
      <c r="C3" s="7" t="s">
        <v>20</v>
      </c>
      <c r="D3" s="15" t="s">
        <v>0</v>
      </c>
      <c r="E3" s="8" t="s">
        <v>1</v>
      </c>
      <c r="F3" s="8" t="s">
        <v>2</v>
      </c>
      <c r="G3" s="9" t="s">
        <v>3</v>
      </c>
      <c r="H3" s="21"/>
    </row>
    <row r="4" spans="2:9" ht="22.5" customHeight="1">
      <c r="B4" s="48">
        <f>SUM(F4:F15)</f>
        <v>677</v>
      </c>
      <c r="C4" s="5">
        <v>1</v>
      </c>
      <c r="D4" s="4">
        <v>45895</v>
      </c>
      <c r="E4" s="3" t="s">
        <v>4</v>
      </c>
      <c r="F4" s="3">
        <v>62</v>
      </c>
      <c r="G4" s="18">
        <f>SUM(F4:F212)</f>
        <v>0</v>
      </c>
    </row>
    <row r="5" spans="2:9" ht="22.5" customHeight="1">
      <c r="B5" s="49"/>
      <c r="C5" s="5">
        <v>2</v>
      </c>
      <c r="D5" s="4">
        <v>45895</v>
      </c>
      <c r="E5" s="3" t="s">
        <v>5</v>
      </c>
      <c r="F5" s="3">
        <v>41</v>
      </c>
      <c r="G5" s="6"/>
    </row>
    <row r="6" spans="2:9" ht="22.5" customHeight="1">
      <c r="B6" s="49"/>
      <c r="C6" s="5">
        <v>3</v>
      </c>
      <c r="D6" s="4">
        <v>45895</v>
      </c>
      <c r="E6" s="3" t="s">
        <v>6</v>
      </c>
      <c r="F6" s="3">
        <v>100</v>
      </c>
      <c r="G6" s="6"/>
    </row>
    <row r="7" spans="2:9" ht="22.5" customHeight="1">
      <c r="B7" s="49"/>
      <c r="C7" s="5">
        <v>4</v>
      </c>
      <c r="D7" s="4">
        <v>45895</v>
      </c>
      <c r="E7" s="3" t="s">
        <v>7</v>
      </c>
      <c r="F7" s="3">
        <v>60</v>
      </c>
      <c r="G7" s="6"/>
      <c r="I7" s="14"/>
    </row>
    <row r="8" spans="2:9" ht="22.5" customHeight="1">
      <c r="B8" s="49"/>
      <c r="C8" s="5">
        <v>5</v>
      </c>
      <c r="D8" s="4">
        <v>45895</v>
      </c>
      <c r="E8" s="3" t="s">
        <v>8</v>
      </c>
      <c r="F8" s="3">
        <v>10</v>
      </c>
      <c r="G8" s="6"/>
    </row>
    <row r="9" spans="2:9" ht="22.5" customHeight="1">
      <c r="B9" s="49"/>
      <c r="C9" s="5">
        <v>6</v>
      </c>
      <c r="D9" s="4">
        <v>45895</v>
      </c>
      <c r="E9" s="3" t="s">
        <v>9</v>
      </c>
      <c r="F9" s="3">
        <v>104</v>
      </c>
      <c r="G9" s="6"/>
    </row>
    <row r="10" spans="2:9" ht="22.5" customHeight="1">
      <c r="B10" s="49"/>
      <c r="C10" s="5">
        <v>7</v>
      </c>
      <c r="D10" s="4">
        <v>45895</v>
      </c>
      <c r="E10" s="3" t="s">
        <v>10</v>
      </c>
      <c r="F10" s="3">
        <v>20</v>
      </c>
      <c r="G10" s="6"/>
    </row>
    <row r="11" spans="2:9" ht="22.5" customHeight="1">
      <c r="B11" s="49"/>
      <c r="C11" s="5">
        <v>8</v>
      </c>
      <c r="D11" s="4">
        <v>45895</v>
      </c>
      <c r="E11" s="3" t="s">
        <v>11</v>
      </c>
      <c r="F11" s="3">
        <v>10</v>
      </c>
      <c r="G11" s="6"/>
    </row>
    <row r="12" spans="2:9" ht="22.5" customHeight="1">
      <c r="B12" s="49"/>
      <c r="C12" s="5">
        <v>9</v>
      </c>
      <c r="D12" s="4">
        <v>45895</v>
      </c>
      <c r="E12" s="3" t="s">
        <v>12</v>
      </c>
      <c r="F12" s="3">
        <v>150</v>
      </c>
      <c r="G12" s="6"/>
    </row>
    <row r="13" spans="2:9" ht="22.5" customHeight="1">
      <c r="B13" s="49"/>
      <c r="C13" s="5">
        <v>10</v>
      </c>
      <c r="D13" s="4">
        <v>45895</v>
      </c>
      <c r="E13" s="3" t="s">
        <v>13</v>
      </c>
      <c r="F13" s="3">
        <v>70</v>
      </c>
      <c r="G13" s="6"/>
    </row>
    <row r="14" spans="2:9" ht="22.5" customHeight="1">
      <c r="B14" s="49"/>
      <c r="C14" s="5">
        <v>11</v>
      </c>
      <c r="D14" s="4">
        <v>45895</v>
      </c>
      <c r="E14" s="3" t="s">
        <v>14</v>
      </c>
      <c r="F14" s="3">
        <v>30</v>
      </c>
      <c r="G14" s="6"/>
    </row>
    <row r="15" spans="2:9" ht="22.5" customHeight="1" thickBot="1">
      <c r="B15" s="50"/>
      <c r="C15" s="5">
        <v>12</v>
      </c>
      <c r="D15" s="4">
        <v>45895</v>
      </c>
      <c r="E15" s="3" t="s">
        <v>15</v>
      </c>
      <c r="F15" s="3">
        <v>20</v>
      </c>
      <c r="G15" s="6"/>
    </row>
    <row r="16" spans="2:9" ht="22.5" customHeight="1">
      <c r="B16" s="48">
        <f>SUM(F16:F26)</f>
        <v>795</v>
      </c>
      <c r="C16" s="5">
        <v>1</v>
      </c>
      <c r="D16" s="4">
        <v>45896</v>
      </c>
      <c r="E16" s="3" t="s">
        <v>6</v>
      </c>
      <c r="F16" s="3">
        <v>50</v>
      </c>
      <c r="G16" s="6"/>
    </row>
    <row r="17" spans="2:7" ht="22.5" customHeight="1">
      <c r="B17" s="49"/>
      <c r="C17" s="5">
        <v>2</v>
      </c>
      <c r="D17" s="4">
        <v>45896</v>
      </c>
      <c r="E17" s="3" t="s">
        <v>16</v>
      </c>
      <c r="F17" s="3">
        <v>20</v>
      </c>
      <c r="G17" s="6"/>
    </row>
    <row r="18" spans="2:7" ht="22.5" customHeight="1">
      <c r="B18" s="49"/>
      <c r="C18" s="5">
        <v>3</v>
      </c>
      <c r="D18" s="4">
        <v>45896</v>
      </c>
      <c r="E18" s="3" t="s">
        <v>17</v>
      </c>
      <c r="F18" s="3">
        <v>350</v>
      </c>
      <c r="G18" s="6"/>
    </row>
    <row r="19" spans="2:7" ht="22.5" customHeight="1">
      <c r="B19" s="49"/>
      <c r="C19" s="5">
        <v>4</v>
      </c>
      <c r="D19" s="4">
        <v>45896</v>
      </c>
      <c r="E19" s="3" t="s">
        <v>18</v>
      </c>
      <c r="F19" s="3">
        <v>40</v>
      </c>
      <c r="G19" s="6"/>
    </row>
    <row r="20" spans="2:7" ht="22.5" customHeight="1">
      <c r="B20" s="49"/>
      <c r="C20" s="5">
        <v>5</v>
      </c>
      <c r="D20" s="4">
        <v>45896</v>
      </c>
      <c r="E20" s="3" t="s">
        <v>7</v>
      </c>
      <c r="F20" s="3">
        <v>60</v>
      </c>
      <c r="G20" s="6"/>
    </row>
    <row r="21" spans="2:7" ht="22.5" customHeight="1">
      <c r="B21" s="49"/>
      <c r="C21" s="10">
        <v>6</v>
      </c>
      <c r="D21" s="11">
        <v>45896</v>
      </c>
      <c r="E21" s="12" t="s">
        <v>19</v>
      </c>
      <c r="F21" s="12">
        <v>25</v>
      </c>
      <c r="G21" s="13"/>
    </row>
    <row r="22" spans="2:7" ht="22.5" customHeight="1">
      <c r="B22" s="49"/>
      <c r="C22" s="10">
        <v>7</v>
      </c>
      <c r="D22" s="11">
        <v>45896</v>
      </c>
      <c r="E22" s="12" t="s">
        <v>22</v>
      </c>
      <c r="F22" s="12">
        <v>10</v>
      </c>
      <c r="G22" s="13"/>
    </row>
    <row r="23" spans="2:7" ht="22.5" customHeight="1">
      <c r="B23" s="49"/>
      <c r="C23" s="10">
        <v>8</v>
      </c>
      <c r="D23" s="11">
        <v>45896</v>
      </c>
      <c r="E23" s="3" t="s">
        <v>6</v>
      </c>
      <c r="F23" s="3">
        <v>150</v>
      </c>
      <c r="G23" s="6"/>
    </row>
    <row r="24" spans="2:7" ht="22.5" customHeight="1">
      <c r="B24" s="49"/>
      <c r="C24" s="10">
        <v>9</v>
      </c>
      <c r="D24" s="11">
        <v>45896</v>
      </c>
      <c r="E24" s="3" t="s">
        <v>18</v>
      </c>
      <c r="F24" s="3">
        <v>10</v>
      </c>
      <c r="G24" s="6"/>
    </row>
    <row r="25" spans="2:7" ht="22.5" customHeight="1">
      <c r="B25" s="49"/>
      <c r="C25" s="10">
        <v>10</v>
      </c>
      <c r="D25" s="11">
        <v>45896</v>
      </c>
      <c r="E25" s="3" t="s">
        <v>23</v>
      </c>
      <c r="F25" s="3">
        <v>70</v>
      </c>
      <c r="G25" s="6"/>
    </row>
    <row r="26" spans="2:7" ht="22.5" customHeight="1" thickBot="1">
      <c r="B26" s="50"/>
      <c r="C26" s="10">
        <v>11</v>
      </c>
      <c r="D26" s="11">
        <v>45896</v>
      </c>
      <c r="E26" s="3" t="s">
        <v>5</v>
      </c>
      <c r="F26" s="3">
        <v>10</v>
      </c>
      <c r="G26" s="6"/>
    </row>
    <row r="27" spans="2:7" ht="22.5" customHeight="1">
      <c r="B27" s="48">
        <f>SUM(F27:F35)</f>
        <v>490</v>
      </c>
      <c r="C27" s="5">
        <v>1</v>
      </c>
      <c r="D27" s="11">
        <v>45897</v>
      </c>
      <c r="E27" s="3" t="s">
        <v>4</v>
      </c>
      <c r="F27" s="3">
        <v>55</v>
      </c>
      <c r="G27" s="6"/>
    </row>
    <row r="28" spans="2:7" ht="22.5" customHeight="1">
      <c r="B28" s="49"/>
      <c r="C28" s="5">
        <v>2</v>
      </c>
      <c r="D28" s="11">
        <v>45897</v>
      </c>
      <c r="E28" s="3" t="s">
        <v>24</v>
      </c>
      <c r="F28" s="3">
        <v>8</v>
      </c>
      <c r="G28" s="6"/>
    </row>
    <row r="29" spans="2:7" ht="22.5" customHeight="1">
      <c r="B29" s="49"/>
      <c r="C29" s="5">
        <v>3</v>
      </c>
      <c r="D29" s="11">
        <v>45897</v>
      </c>
      <c r="E29" s="3" t="s">
        <v>6</v>
      </c>
      <c r="F29" s="3">
        <v>300</v>
      </c>
      <c r="G29" s="6"/>
    </row>
    <row r="30" spans="2:7" ht="22.5" customHeight="1">
      <c r="B30" s="49"/>
      <c r="C30" s="5">
        <v>4</v>
      </c>
      <c r="D30" s="11">
        <v>45897</v>
      </c>
      <c r="E30" s="3" t="s">
        <v>19</v>
      </c>
      <c r="F30" s="3">
        <v>52</v>
      </c>
      <c r="G30" s="6"/>
    </row>
    <row r="31" spans="2:7" ht="22.5" customHeight="1">
      <c r="B31" s="49"/>
      <c r="C31" s="5">
        <v>5</v>
      </c>
      <c r="D31" s="11">
        <v>45897</v>
      </c>
      <c r="E31" s="3" t="s">
        <v>5</v>
      </c>
      <c r="F31" s="3">
        <v>5</v>
      </c>
      <c r="G31" s="6"/>
    </row>
    <row r="32" spans="2:7" ht="22.5" customHeight="1">
      <c r="B32" s="49"/>
      <c r="C32" s="5">
        <v>6</v>
      </c>
      <c r="D32" s="11">
        <v>45897</v>
      </c>
      <c r="E32" s="3" t="s">
        <v>5</v>
      </c>
      <c r="F32" s="3">
        <v>10</v>
      </c>
      <c r="G32" s="6"/>
    </row>
    <row r="33" spans="2:7" ht="22.5" customHeight="1">
      <c r="B33" s="49"/>
      <c r="C33" s="5">
        <v>7</v>
      </c>
      <c r="D33" s="11">
        <v>45897</v>
      </c>
      <c r="E33" s="3" t="s">
        <v>25</v>
      </c>
      <c r="F33" s="3">
        <v>10</v>
      </c>
      <c r="G33" s="6"/>
    </row>
    <row r="34" spans="2:7" s="2" customFormat="1" ht="22.5" customHeight="1">
      <c r="B34" s="49"/>
      <c r="C34" s="5">
        <v>8</v>
      </c>
      <c r="D34" s="11">
        <v>45897</v>
      </c>
      <c r="E34" s="3" t="s">
        <v>7</v>
      </c>
      <c r="F34" s="3">
        <v>30</v>
      </c>
      <c r="G34" s="6"/>
    </row>
    <row r="35" spans="2:7" ht="22.5" customHeight="1" thickBot="1">
      <c r="B35" s="50"/>
      <c r="C35" s="5">
        <v>9</v>
      </c>
      <c r="D35" s="11">
        <v>45897</v>
      </c>
      <c r="E35" s="3" t="s">
        <v>10</v>
      </c>
      <c r="F35" s="3">
        <v>20</v>
      </c>
      <c r="G35" s="6"/>
    </row>
    <row r="36" spans="2:7" ht="22.5" customHeight="1">
      <c r="B36" s="48">
        <f>SUM(F36:F42)</f>
        <v>309</v>
      </c>
      <c r="C36" s="5">
        <v>1</v>
      </c>
      <c r="D36" s="11">
        <v>45898</v>
      </c>
      <c r="E36" s="3" t="s">
        <v>4</v>
      </c>
      <c r="F36" s="3">
        <v>45</v>
      </c>
      <c r="G36" s="6"/>
    </row>
    <row r="37" spans="2:7" ht="22.5" customHeight="1">
      <c r="B37" s="49"/>
      <c r="C37" s="5">
        <v>2</v>
      </c>
      <c r="D37" s="11">
        <v>45898</v>
      </c>
      <c r="E37" s="3" t="s">
        <v>6</v>
      </c>
      <c r="F37" s="3">
        <v>200</v>
      </c>
      <c r="G37" s="6"/>
    </row>
    <row r="38" spans="2:7" ht="22.5" customHeight="1">
      <c r="B38" s="49"/>
      <c r="C38" s="5">
        <v>3</v>
      </c>
      <c r="D38" s="11">
        <v>45898</v>
      </c>
      <c r="E38" s="3" t="s">
        <v>18</v>
      </c>
      <c r="F38" s="3">
        <v>10</v>
      </c>
      <c r="G38" s="6"/>
    </row>
    <row r="39" spans="2:7" ht="22.5" customHeight="1">
      <c r="B39" s="49"/>
      <c r="C39" s="5">
        <v>4</v>
      </c>
      <c r="D39" s="11">
        <v>45898</v>
      </c>
      <c r="E39" s="3" t="s">
        <v>19</v>
      </c>
      <c r="F39" s="3">
        <v>18</v>
      </c>
      <c r="G39" s="6"/>
    </row>
    <row r="40" spans="2:7" ht="22.5" customHeight="1">
      <c r="B40" s="49"/>
      <c r="C40" s="5">
        <v>5</v>
      </c>
      <c r="D40" s="11">
        <v>45898</v>
      </c>
      <c r="E40" s="3" t="s">
        <v>26</v>
      </c>
      <c r="F40" s="3">
        <v>20</v>
      </c>
      <c r="G40" s="6"/>
    </row>
    <row r="41" spans="2:7" ht="22.5" customHeight="1">
      <c r="B41" s="49"/>
      <c r="C41" s="5">
        <v>6</v>
      </c>
      <c r="D41" s="11">
        <v>45898</v>
      </c>
      <c r="E41" s="3" t="s">
        <v>5</v>
      </c>
      <c r="F41" s="3">
        <v>6</v>
      </c>
      <c r="G41" s="6"/>
    </row>
    <row r="42" spans="2:7" ht="22.5" customHeight="1" thickBot="1">
      <c r="B42" s="50"/>
      <c r="C42" s="5">
        <v>7</v>
      </c>
      <c r="D42" s="11">
        <v>45898</v>
      </c>
      <c r="E42" s="3" t="s">
        <v>27</v>
      </c>
      <c r="F42" s="3">
        <v>10</v>
      </c>
      <c r="G42" s="6"/>
    </row>
    <row r="43" spans="2:7" ht="22.5" customHeight="1">
      <c r="B43" s="48">
        <f>SUM(F43:F49)</f>
        <v>324</v>
      </c>
      <c r="C43" s="5">
        <v>1</v>
      </c>
      <c r="D43" s="11">
        <v>45899</v>
      </c>
      <c r="E43" s="3" t="s">
        <v>16</v>
      </c>
      <c r="F43" s="3">
        <v>40</v>
      </c>
      <c r="G43" s="6"/>
    </row>
    <row r="44" spans="2:7" ht="22.5" customHeight="1">
      <c r="B44" s="49"/>
      <c r="C44" s="10">
        <v>2</v>
      </c>
      <c r="D44" s="11">
        <v>45899</v>
      </c>
      <c r="E44" s="12" t="s">
        <v>6</v>
      </c>
      <c r="F44" s="12">
        <v>200</v>
      </c>
      <c r="G44" s="17"/>
    </row>
    <row r="45" spans="2:7" ht="22.5" customHeight="1">
      <c r="B45" s="49"/>
      <c r="C45" s="10">
        <v>3</v>
      </c>
      <c r="D45" s="11">
        <v>45899</v>
      </c>
      <c r="E45" s="12" t="s">
        <v>19</v>
      </c>
      <c r="F45" s="12">
        <v>25</v>
      </c>
      <c r="G45" s="17"/>
    </row>
    <row r="46" spans="2:7" ht="22.5" customHeight="1">
      <c r="B46" s="49"/>
      <c r="C46" s="10">
        <v>4</v>
      </c>
      <c r="D46" s="11">
        <v>45899</v>
      </c>
      <c r="E46" s="12" t="s">
        <v>26</v>
      </c>
      <c r="F46" s="12">
        <v>10</v>
      </c>
      <c r="G46" s="17"/>
    </row>
    <row r="47" spans="2:7" ht="22.5" customHeight="1">
      <c r="B47" s="49"/>
      <c r="C47" s="10">
        <v>5</v>
      </c>
      <c r="D47" s="11">
        <v>45899</v>
      </c>
      <c r="E47" s="12" t="s">
        <v>15</v>
      </c>
      <c r="F47" s="12">
        <v>20</v>
      </c>
      <c r="G47" s="17"/>
    </row>
    <row r="48" spans="2:7" ht="22.5" customHeight="1">
      <c r="B48" s="49"/>
      <c r="C48" s="10">
        <v>6</v>
      </c>
      <c r="D48" s="11">
        <v>45899</v>
      </c>
      <c r="E48" s="12" t="s">
        <v>10</v>
      </c>
      <c r="F48" s="12">
        <v>20</v>
      </c>
      <c r="G48" s="17"/>
    </row>
    <row r="49" spans="2:7" ht="22.5" customHeight="1" thickBot="1">
      <c r="B49" s="50"/>
      <c r="C49" s="10">
        <v>7</v>
      </c>
      <c r="D49" s="11">
        <v>45899</v>
      </c>
      <c r="E49" s="12" t="s">
        <v>5</v>
      </c>
      <c r="F49" s="12">
        <v>9</v>
      </c>
      <c r="G49" s="17"/>
    </row>
    <row r="50" spans="2:7" ht="22.5" customHeight="1">
      <c r="B50" s="48">
        <f>SUM(F50:F58)</f>
        <v>405</v>
      </c>
      <c r="C50" s="10">
        <v>1</v>
      </c>
      <c r="D50" s="11">
        <v>45900</v>
      </c>
      <c r="E50" s="12" t="s">
        <v>16</v>
      </c>
      <c r="F50" s="12">
        <v>40</v>
      </c>
      <c r="G50" s="17"/>
    </row>
    <row r="51" spans="2:7" ht="22.5" customHeight="1">
      <c r="B51" s="49"/>
      <c r="C51" s="10">
        <v>2</v>
      </c>
      <c r="D51" s="11">
        <v>45900</v>
      </c>
      <c r="E51" s="12" t="s">
        <v>15</v>
      </c>
      <c r="F51" s="12">
        <v>20</v>
      </c>
      <c r="G51" s="17"/>
    </row>
    <row r="52" spans="2:7" ht="22.5" customHeight="1">
      <c r="B52" s="49"/>
      <c r="C52" s="10">
        <v>3</v>
      </c>
      <c r="D52" s="11">
        <v>45900</v>
      </c>
      <c r="E52" s="12" t="s">
        <v>6</v>
      </c>
      <c r="F52" s="12">
        <v>100</v>
      </c>
      <c r="G52" s="17"/>
    </row>
    <row r="53" spans="2:7" ht="22.5" customHeight="1">
      <c r="B53" s="49"/>
      <c r="C53" s="10">
        <v>4</v>
      </c>
      <c r="D53" s="11">
        <v>45900</v>
      </c>
      <c r="E53" s="12" t="s">
        <v>19</v>
      </c>
      <c r="F53" s="12">
        <v>25</v>
      </c>
      <c r="G53" s="17"/>
    </row>
    <row r="54" spans="2:7" ht="22.5" customHeight="1">
      <c r="B54" s="49"/>
      <c r="C54" s="10">
        <v>5</v>
      </c>
      <c r="D54" s="11">
        <v>45900</v>
      </c>
      <c r="E54" s="12" t="s">
        <v>7</v>
      </c>
      <c r="F54" s="12">
        <v>60</v>
      </c>
      <c r="G54" s="17"/>
    </row>
    <row r="55" spans="2:7" ht="22.5" customHeight="1">
      <c r="B55" s="49"/>
      <c r="C55" s="10">
        <v>6</v>
      </c>
      <c r="D55" s="11">
        <v>45900</v>
      </c>
      <c r="E55" s="12" t="s">
        <v>28</v>
      </c>
      <c r="F55" s="12">
        <v>20</v>
      </c>
      <c r="G55" s="17"/>
    </row>
    <row r="56" spans="2:7" ht="22.5" customHeight="1">
      <c r="B56" s="49"/>
      <c r="C56" s="10">
        <v>7</v>
      </c>
      <c r="D56" s="11">
        <v>45900</v>
      </c>
      <c r="E56" s="12" t="s">
        <v>15</v>
      </c>
      <c r="F56" s="12">
        <v>20</v>
      </c>
      <c r="G56" s="17"/>
    </row>
    <row r="57" spans="2:7" ht="22.5" customHeight="1">
      <c r="B57" s="49"/>
      <c r="C57" s="10">
        <v>8</v>
      </c>
      <c r="D57" s="11">
        <v>45900</v>
      </c>
      <c r="E57" s="12" t="s">
        <v>16</v>
      </c>
      <c r="F57" s="12">
        <v>20</v>
      </c>
      <c r="G57" s="17"/>
    </row>
    <row r="58" spans="2:7" ht="22.5" customHeight="1" thickBot="1">
      <c r="B58" s="50"/>
      <c r="C58" s="10">
        <v>9</v>
      </c>
      <c r="D58" s="11">
        <v>45900</v>
      </c>
      <c r="E58" s="12" t="s">
        <v>6</v>
      </c>
      <c r="F58" s="12">
        <v>100</v>
      </c>
      <c r="G58" s="17"/>
    </row>
    <row r="59" spans="2:7" ht="22.5" customHeight="1">
      <c r="B59" s="48">
        <f>SUM(F59:F65)</f>
        <v>439</v>
      </c>
      <c r="C59" s="10">
        <v>1</v>
      </c>
      <c r="D59" s="11">
        <v>45901</v>
      </c>
      <c r="E59" s="12" t="s">
        <v>4</v>
      </c>
      <c r="F59" s="12">
        <v>76</v>
      </c>
      <c r="G59" s="17"/>
    </row>
    <row r="60" spans="2:7" ht="22.5" customHeight="1">
      <c r="B60" s="49"/>
      <c r="C60" s="10">
        <v>2</v>
      </c>
      <c r="D60" s="11">
        <v>45901</v>
      </c>
      <c r="E60" s="12" t="s">
        <v>19</v>
      </c>
      <c r="F60" s="12">
        <v>48</v>
      </c>
      <c r="G60" s="17"/>
    </row>
    <row r="61" spans="2:7" ht="22.5" customHeight="1">
      <c r="B61" s="49"/>
      <c r="C61" s="10">
        <v>3</v>
      </c>
      <c r="D61" s="11">
        <v>45901</v>
      </c>
      <c r="E61" s="12" t="s">
        <v>5</v>
      </c>
      <c r="F61" s="12">
        <v>75</v>
      </c>
      <c r="G61" s="17"/>
    </row>
    <row r="62" spans="2:7" ht="22.5" customHeight="1">
      <c r="B62" s="49"/>
      <c r="C62" s="10">
        <v>4</v>
      </c>
      <c r="D62" s="11">
        <v>45901</v>
      </c>
      <c r="E62" s="12" t="s">
        <v>7</v>
      </c>
      <c r="F62" s="12">
        <v>30</v>
      </c>
      <c r="G62" s="17"/>
    </row>
    <row r="63" spans="2:7" ht="22.5" customHeight="1">
      <c r="B63" s="49"/>
      <c r="C63" s="10">
        <v>5</v>
      </c>
      <c r="D63" s="11">
        <v>45901</v>
      </c>
      <c r="E63" s="12" t="s">
        <v>10</v>
      </c>
      <c r="F63" s="12">
        <v>20</v>
      </c>
      <c r="G63" s="17"/>
    </row>
    <row r="64" spans="2:7" ht="22.5" customHeight="1">
      <c r="B64" s="49"/>
      <c r="C64" s="10">
        <v>6</v>
      </c>
      <c r="D64" s="11">
        <v>45901</v>
      </c>
      <c r="E64" s="12" t="s">
        <v>7</v>
      </c>
      <c r="F64" s="12">
        <v>50</v>
      </c>
      <c r="G64" s="17"/>
    </row>
    <row r="65" spans="2:7" ht="22.5" customHeight="1" thickBot="1">
      <c r="B65" s="50"/>
      <c r="C65" s="10">
        <v>7</v>
      </c>
      <c r="D65" s="11">
        <v>45901</v>
      </c>
      <c r="E65" s="12" t="s">
        <v>29</v>
      </c>
      <c r="F65" s="12">
        <v>140</v>
      </c>
      <c r="G65" s="17"/>
    </row>
    <row r="66" spans="2:7" ht="22.5" customHeight="1">
      <c r="B66" s="48">
        <f>SUM(F66:F72)</f>
        <v>316</v>
      </c>
      <c r="C66" s="10">
        <v>1</v>
      </c>
      <c r="D66" s="11">
        <v>45902</v>
      </c>
      <c r="E66" s="12" t="s">
        <v>4</v>
      </c>
      <c r="F66" s="12">
        <v>60</v>
      </c>
      <c r="G66" s="17"/>
    </row>
    <row r="67" spans="2:7" ht="22.5" customHeight="1">
      <c r="B67" s="49"/>
      <c r="C67" s="10">
        <v>2</v>
      </c>
      <c r="D67" s="11">
        <v>45902</v>
      </c>
      <c r="E67" s="12" t="s">
        <v>30</v>
      </c>
      <c r="F67" s="12">
        <v>25</v>
      </c>
      <c r="G67" s="17"/>
    </row>
    <row r="68" spans="2:7" ht="22.5" customHeight="1">
      <c r="B68" s="49"/>
      <c r="C68" s="10">
        <v>3</v>
      </c>
      <c r="D68" s="11">
        <v>45902</v>
      </c>
      <c r="E68" s="12" t="s">
        <v>19</v>
      </c>
      <c r="F68" s="12">
        <v>25</v>
      </c>
      <c r="G68" s="17"/>
    </row>
    <row r="69" spans="2:7" ht="22.5" customHeight="1">
      <c r="B69" s="49"/>
      <c r="C69" s="10">
        <v>4</v>
      </c>
      <c r="D69" s="11">
        <v>45902</v>
      </c>
      <c r="E69" s="12" t="s">
        <v>6</v>
      </c>
      <c r="F69" s="12">
        <v>100</v>
      </c>
      <c r="G69" s="17"/>
    </row>
    <row r="70" spans="2:7" ht="22.5" customHeight="1">
      <c r="B70" s="49"/>
      <c r="C70" s="10">
        <v>5</v>
      </c>
      <c r="D70" s="11">
        <v>45902</v>
      </c>
      <c r="E70" s="12" t="s">
        <v>7</v>
      </c>
      <c r="F70" s="12">
        <v>30</v>
      </c>
      <c r="G70" s="17"/>
    </row>
    <row r="71" spans="2:7" ht="22.5" customHeight="1">
      <c r="B71" s="49"/>
      <c r="C71" s="10">
        <v>6</v>
      </c>
      <c r="D71" s="11">
        <v>45902</v>
      </c>
      <c r="E71" s="12" t="s">
        <v>31</v>
      </c>
      <c r="F71" s="12">
        <v>16</v>
      </c>
      <c r="G71" s="17"/>
    </row>
    <row r="72" spans="2:7" ht="22.5" customHeight="1" thickBot="1">
      <c r="B72" s="50"/>
      <c r="C72" s="10">
        <v>7</v>
      </c>
      <c r="D72" s="11">
        <v>45902</v>
      </c>
      <c r="E72" s="12" t="s">
        <v>7</v>
      </c>
      <c r="F72" s="12">
        <v>60</v>
      </c>
      <c r="G72" s="17"/>
    </row>
    <row r="73" spans="2:7" ht="22.5" customHeight="1">
      <c r="B73" s="48">
        <f>SUM(F73:F80)</f>
        <v>277</v>
      </c>
      <c r="C73" s="10">
        <v>1</v>
      </c>
      <c r="D73" s="11">
        <v>45903</v>
      </c>
      <c r="E73" s="12" t="s">
        <v>4</v>
      </c>
      <c r="F73" s="12">
        <v>60</v>
      </c>
      <c r="G73" s="17"/>
    </row>
    <row r="74" spans="2:7" ht="22.5" customHeight="1">
      <c r="B74" s="49"/>
      <c r="C74" s="10">
        <v>2</v>
      </c>
      <c r="D74" s="11">
        <v>45903</v>
      </c>
      <c r="E74" s="12" t="s">
        <v>22</v>
      </c>
      <c r="F74" s="12">
        <v>6</v>
      </c>
      <c r="G74" s="17"/>
    </row>
    <row r="75" spans="2:7" ht="22.5" customHeight="1">
      <c r="B75" s="49"/>
      <c r="C75" s="10">
        <v>3</v>
      </c>
      <c r="D75" s="11">
        <v>45903</v>
      </c>
      <c r="E75" s="12" t="s">
        <v>6</v>
      </c>
      <c r="F75" s="12">
        <v>100</v>
      </c>
      <c r="G75" s="17"/>
    </row>
    <row r="76" spans="2:7" ht="22.5" customHeight="1">
      <c r="B76" s="49"/>
      <c r="C76" s="10">
        <v>4</v>
      </c>
      <c r="D76" s="11">
        <v>45903</v>
      </c>
      <c r="E76" s="12" t="s">
        <v>19</v>
      </c>
      <c r="F76" s="12">
        <v>25</v>
      </c>
      <c r="G76" s="17"/>
    </row>
    <row r="77" spans="2:7" ht="22.5" customHeight="1">
      <c r="B77" s="49"/>
      <c r="C77" s="10">
        <v>5</v>
      </c>
      <c r="D77" s="11">
        <v>45903</v>
      </c>
      <c r="E77" s="12" t="s">
        <v>7</v>
      </c>
      <c r="F77" s="12">
        <v>50</v>
      </c>
      <c r="G77" s="17"/>
    </row>
    <row r="78" spans="2:7" ht="22.5" customHeight="1">
      <c r="B78" s="49"/>
      <c r="C78" s="10">
        <v>6</v>
      </c>
      <c r="D78" s="11">
        <v>45903</v>
      </c>
      <c r="E78" s="12" t="s">
        <v>25</v>
      </c>
      <c r="F78" s="12">
        <v>7</v>
      </c>
      <c r="G78" s="17"/>
    </row>
    <row r="79" spans="2:7" ht="22.5" customHeight="1">
      <c r="B79" s="49"/>
      <c r="C79" s="10">
        <v>7</v>
      </c>
      <c r="D79" s="11">
        <v>45903</v>
      </c>
      <c r="E79" s="12" t="s">
        <v>5</v>
      </c>
      <c r="F79" s="12">
        <v>9</v>
      </c>
      <c r="G79" s="17"/>
    </row>
    <row r="80" spans="2:7" ht="22.5" customHeight="1" thickBot="1">
      <c r="B80" s="50"/>
      <c r="C80" s="10">
        <v>8</v>
      </c>
      <c r="D80" s="11">
        <v>45903</v>
      </c>
      <c r="E80" s="12" t="s">
        <v>26</v>
      </c>
      <c r="F80" s="12">
        <v>20</v>
      </c>
      <c r="G80" s="17"/>
    </row>
    <row r="81" spans="2:7" ht="22.5" customHeight="1">
      <c r="B81" s="48">
        <f>SUM(F81:F85)</f>
        <v>205</v>
      </c>
      <c r="C81" s="10">
        <v>1</v>
      </c>
      <c r="D81" s="11">
        <v>45904</v>
      </c>
      <c r="E81" s="12" t="s">
        <v>19</v>
      </c>
      <c r="F81" s="12">
        <v>35</v>
      </c>
      <c r="G81" s="17"/>
    </row>
    <row r="82" spans="2:7" ht="22.5" customHeight="1">
      <c r="B82" s="49"/>
      <c r="C82" s="10">
        <v>2</v>
      </c>
      <c r="D82" s="11">
        <v>45904</v>
      </c>
      <c r="E82" s="12" t="s">
        <v>22</v>
      </c>
      <c r="F82" s="12">
        <v>10</v>
      </c>
      <c r="G82" s="17"/>
    </row>
    <row r="83" spans="2:7" ht="22.5" customHeight="1">
      <c r="B83" s="49"/>
      <c r="C83" s="10">
        <v>3</v>
      </c>
      <c r="D83" s="11">
        <v>45904</v>
      </c>
      <c r="E83" s="12" t="s">
        <v>7</v>
      </c>
      <c r="F83" s="12">
        <v>60</v>
      </c>
      <c r="G83" s="17"/>
    </row>
    <row r="84" spans="2:7" ht="22.5" customHeight="1">
      <c r="B84" s="49"/>
      <c r="C84" s="10">
        <v>4</v>
      </c>
      <c r="D84" s="11">
        <v>45904</v>
      </c>
      <c r="E84" s="12" t="s">
        <v>18</v>
      </c>
      <c r="F84" s="12">
        <v>40</v>
      </c>
      <c r="G84" s="17"/>
    </row>
    <row r="85" spans="2:7" ht="22.5" customHeight="1" thickBot="1">
      <c r="B85" s="50"/>
      <c r="C85" s="10">
        <v>5</v>
      </c>
      <c r="D85" s="11">
        <v>45904</v>
      </c>
      <c r="E85" s="12" t="s">
        <v>6</v>
      </c>
      <c r="F85" s="12">
        <v>60</v>
      </c>
      <c r="G85" s="17"/>
    </row>
    <row r="86" spans="2:7" ht="22.5" customHeight="1">
      <c r="B86" s="48">
        <f>SUM(F86:F96)</f>
        <v>778</v>
      </c>
      <c r="C86" s="10">
        <v>1</v>
      </c>
      <c r="D86" s="11">
        <v>45905</v>
      </c>
      <c r="E86" s="12" t="s">
        <v>4</v>
      </c>
      <c r="F86" s="12">
        <v>60</v>
      </c>
      <c r="G86" s="17"/>
    </row>
    <row r="87" spans="2:7" ht="22.5" customHeight="1">
      <c r="B87" s="49"/>
      <c r="C87" s="10">
        <v>2</v>
      </c>
      <c r="D87" s="11">
        <v>45905</v>
      </c>
      <c r="E87" s="12" t="s">
        <v>12</v>
      </c>
      <c r="F87" s="12">
        <v>150</v>
      </c>
      <c r="G87" s="17"/>
    </row>
    <row r="88" spans="2:7" ht="22.5" customHeight="1">
      <c r="B88" s="49"/>
      <c r="C88" s="10">
        <v>3</v>
      </c>
      <c r="D88" s="11">
        <v>45905</v>
      </c>
      <c r="E88" s="12" t="s">
        <v>5</v>
      </c>
      <c r="F88" s="12">
        <v>70</v>
      </c>
      <c r="G88" s="17"/>
    </row>
    <row r="89" spans="2:7" ht="22.5" customHeight="1">
      <c r="B89" s="49"/>
      <c r="C89" s="10">
        <v>4</v>
      </c>
      <c r="D89" s="11">
        <v>45905</v>
      </c>
      <c r="E89" s="12" t="s">
        <v>6</v>
      </c>
      <c r="F89" s="12">
        <v>50</v>
      </c>
      <c r="G89" s="17"/>
    </row>
    <row r="90" spans="2:7" ht="22.5" customHeight="1">
      <c r="B90" s="49"/>
      <c r="C90" s="10">
        <v>5</v>
      </c>
      <c r="D90" s="11">
        <v>45905</v>
      </c>
      <c r="E90" s="12" t="s">
        <v>32</v>
      </c>
      <c r="F90" s="12">
        <v>25</v>
      </c>
      <c r="G90" s="17"/>
    </row>
    <row r="91" spans="2:7" ht="22.5" customHeight="1">
      <c r="B91" s="49"/>
      <c r="C91" s="10">
        <v>6</v>
      </c>
      <c r="D91" s="11">
        <v>45905</v>
      </c>
      <c r="E91" s="12" t="s">
        <v>6</v>
      </c>
      <c r="F91" s="12">
        <v>100</v>
      </c>
      <c r="G91" s="17"/>
    </row>
    <row r="92" spans="2:7" ht="22.5" customHeight="1">
      <c r="B92" s="49"/>
      <c r="C92" s="10">
        <v>7</v>
      </c>
      <c r="D92" s="11">
        <v>45905</v>
      </c>
      <c r="E92" s="12" t="s">
        <v>7</v>
      </c>
      <c r="F92" s="12">
        <v>120</v>
      </c>
      <c r="G92" s="17"/>
    </row>
    <row r="93" spans="2:7" ht="22.5" customHeight="1">
      <c r="B93" s="49"/>
      <c r="C93" s="10">
        <v>8</v>
      </c>
      <c r="D93" s="11">
        <v>45905</v>
      </c>
      <c r="E93" s="12" t="s">
        <v>18</v>
      </c>
      <c r="F93" s="12">
        <v>50</v>
      </c>
      <c r="G93" s="17"/>
    </row>
    <row r="94" spans="2:7" ht="22.5" customHeight="1">
      <c r="B94" s="49"/>
      <c r="C94" s="10">
        <v>9</v>
      </c>
      <c r="D94" s="11">
        <v>45905</v>
      </c>
      <c r="E94" s="12" t="s">
        <v>19</v>
      </c>
      <c r="F94" s="12">
        <v>43</v>
      </c>
      <c r="G94" s="17"/>
    </row>
    <row r="95" spans="2:7" ht="22.5" customHeight="1">
      <c r="B95" s="49"/>
      <c r="C95" s="10">
        <v>10</v>
      </c>
      <c r="D95" s="11">
        <v>45905</v>
      </c>
      <c r="E95" s="12" t="s">
        <v>7</v>
      </c>
      <c r="F95" s="12">
        <v>30</v>
      </c>
      <c r="G95" s="17"/>
    </row>
    <row r="96" spans="2:7" ht="22.5" customHeight="1" thickBot="1">
      <c r="B96" s="50"/>
      <c r="C96" s="10">
        <v>11</v>
      </c>
      <c r="D96" s="11">
        <v>45905</v>
      </c>
      <c r="E96" s="12" t="s">
        <v>7</v>
      </c>
      <c r="F96" s="12">
        <v>80</v>
      </c>
      <c r="G96" s="17"/>
    </row>
    <row r="97" spans="2:7" ht="22.5" customHeight="1">
      <c r="B97" s="48">
        <f>SUM(F97:F103)</f>
        <v>405</v>
      </c>
      <c r="C97" s="10">
        <v>1</v>
      </c>
      <c r="D97" s="11">
        <v>45906</v>
      </c>
      <c r="E97" s="12" t="s">
        <v>4</v>
      </c>
      <c r="F97" s="12">
        <v>60</v>
      </c>
      <c r="G97" s="17"/>
    </row>
    <row r="98" spans="2:7" ht="22.5" customHeight="1">
      <c r="B98" s="49"/>
      <c r="C98" s="10">
        <v>2</v>
      </c>
      <c r="D98" s="11">
        <v>45906</v>
      </c>
      <c r="E98" s="12" t="s">
        <v>7</v>
      </c>
      <c r="F98" s="12">
        <v>30</v>
      </c>
      <c r="G98" s="17"/>
    </row>
    <row r="99" spans="2:7" ht="22.5" customHeight="1">
      <c r="B99" s="49"/>
      <c r="C99" s="10">
        <v>3</v>
      </c>
      <c r="D99" s="11">
        <v>45906</v>
      </c>
      <c r="E99" s="12" t="s">
        <v>19</v>
      </c>
      <c r="F99" s="12">
        <v>35</v>
      </c>
      <c r="G99" s="17"/>
    </row>
    <row r="100" spans="2:7" ht="22.5" customHeight="1">
      <c r="B100" s="49"/>
      <c r="C100" s="10">
        <v>4</v>
      </c>
      <c r="D100" s="11">
        <v>45906</v>
      </c>
      <c r="E100" s="12" t="s">
        <v>6</v>
      </c>
      <c r="F100" s="12">
        <v>50</v>
      </c>
      <c r="G100" s="17"/>
    </row>
    <row r="101" spans="2:7" ht="22.5" customHeight="1">
      <c r="B101" s="49"/>
      <c r="C101" s="10">
        <v>5</v>
      </c>
      <c r="D101" s="11">
        <v>45906</v>
      </c>
      <c r="E101" s="12" t="s">
        <v>6</v>
      </c>
      <c r="F101" s="12">
        <v>150</v>
      </c>
      <c r="G101" s="17"/>
    </row>
    <row r="102" spans="2:7" ht="22.5" customHeight="1">
      <c r="B102" s="49"/>
      <c r="C102" s="10">
        <v>6</v>
      </c>
      <c r="D102" s="11">
        <v>45906</v>
      </c>
      <c r="E102" s="12" t="s">
        <v>7</v>
      </c>
      <c r="F102" s="12">
        <v>60</v>
      </c>
      <c r="G102" s="17"/>
    </row>
    <row r="103" spans="2:7" ht="22.5" customHeight="1" thickBot="1">
      <c r="B103" s="50"/>
      <c r="C103" s="10">
        <v>7</v>
      </c>
      <c r="D103" s="11">
        <v>45906</v>
      </c>
      <c r="E103" s="12" t="s">
        <v>26</v>
      </c>
      <c r="F103" s="12">
        <v>20</v>
      </c>
      <c r="G103" s="17"/>
    </row>
    <row r="104" spans="2:7" ht="22.5" customHeight="1">
      <c r="B104" s="48">
        <f>SUM(F104:F111)</f>
        <v>543</v>
      </c>
      <c r="C104" s="10">
        <v>1</v>
      </c>
      <c r="D104" s="11">
        <v>45907</v>
      </c>
      <c r="E104" s="12" t="s">
        <v>4</v>
      </c>
      <c r="F104" s="12">
        <v>60</v>
      </c>
      <c r="G104" s="17"/>
    </row>
    <row r="105" spans="2:7" ht="22.5" customHeight="1">
      <c r="B105" s="49"/>
      <c r="C105" s="10">
        <v>2</v>
      </c>
      <c r="D105" s="11">
        <v>45907</v>
      </c>
      <c r="E105" s="12" t="s">
        <v>6</v>
      </c>
      <c r="F105" s="12">
        <v>250</v>
      </c>
      <c r="G105" s="17"/>
    </row>
    <row r="106" spans="2:7" ht="22.5" customHeight="1">
      <c r="B106" s="49"/>
      <c r="C106" s="10">
        <v>3</v>
      </c>
      <c r="D106" s="11">
        <v>45907</v>
      </c>
      <c r="E106" s="12" t="s">
        <v>33</v>
      </c>
      <c r="F106" s="12">
        <v>80</v>
      </c>
      <c r="G106" s="17"/>
    </row>
    <row r="107" spans="2:7" ht="22.5" customHeight="1">
      <c r="B107" s="49"/>
      <c r="C107" s="10">
        <v>4</v>
      </c>
      <c r="D107" s="11">
        <v>45907</v>
      </c>
      <c r="E107" s="12" t="s">
        <v>19</v>
      </c>
      <c r="F107" s="12">
        <v>43</v>
      </c>
      <c r="G107" s="17"/>
    </row>
    <row r="108" spans="2:7" ht="22.5" customHeight="1">
      <c r="B108" s="49"/>
      <c r="C108" s="10">
        <v>5</v>
      </c>
      <c r="D108" s="11">
        <v>45907</v>
      </c>
      <c r="E108" s="12" t="s">
        <v>22</v>
      </c>
      <c r="F108" s="12">
        <v>10</v>
      </c>
      <c r="G108" s="17"/>
    </row>
    <row r="109" spans="2:7" ht="22.5" customHeight="1">
      <c r="B109" s="49"/>
      <c r="C109" s="10">
        <v>6</v>
      </c>
      <c r="D109" s="11">
        <v>45907</v>
      </c>
      <c r="E109" s="12" t="s">
        <v>7</v>
      </c>
      <c r="F109" s="12">
        <v>60</v>
      </c>
      <c r="G109" s="17"/>
    </row>
    <row r="110" spans="2:7" ht="22.5" customHeight="1">
      <c r="B110" s="49"/>
      <c r="C110" s="10">
        <v>7</v>
      </c>
      <c r="D110" s="11">
        <v>45907</v>
      </c>
      <c r="E110" s="12" t="s">
        <v>10</v>
      </c>
      <c r="F110" s="12">
        <v>20</v>
      </c>
      <c r="G110" s="17"/>
    </row>
    <row r="111" spans="2:7" ht="22.5" customHeight="1" thickBot="1">
      <c r="B111" s="50"/>
      <c r="C111" s="10">
        <v>8</v>
      </c>
      <c r="D111" s="11">
        <v>45907</v>
      </c>
      <c r="E111" s="12" t="s">
        <v>26</v>
      </c>
      <c r="F111" s="12">
        <v>20</v>
      </c>
      <c r="G111" s="17"/>
    </row>
    <row r="112" spans="2:7" ht="22.5" customHeight="1">
      <c r="B112" s="48">
        <f>SUM(F112:F121)</f>
        <v>403</v>
      </c>
      <c r="C112" s="10">
        <v>1</v>
      </c>
      <c r="D112" s="11">
        <v>45908</v>
      </c>
      <c r="E112" s="12" t="s">
        <v>6</v>
      </c>
      <c r="F112" s="12">
        <v>110</v>
      </c>
      <c r="G112" s="17"/>
    </row>
    <row r="113" spans="2:7" ht="22.5" customHeight="1">
      <c r="B113" s="49"/>
      <c r="C113" s="10">
        <v>2</v>
      </c>
      <c r="D113" s="11">
        <v>45908</v>
      </c>
      <c r="E113" s="12" t="s">
        <v>4</v>
      </c>
      <c r="F113" s="12">
        <v>55</v>
      </c>
      <c r="G113" s="17"/>
    </row>
    <row r="114" spans="2:7" ht="22.5" customHeight="1">
      <c r="B114" s="49"/>
      <c r="C114" s="10">
        <v>3</v>
      </c>
      <c r="D114" s="11">
        <v>45908</v>
      </c>
      <c r="E114" s="12" t="s">
        <v>4</v>
      </c>
      <c r="F114" s="12">
        <v>15</v>
      </c>
      <c r="G114" s="17"/>
    </row>
    <row r="115" spans="2:7" ht="22.5" customHeight="1">
      <c r="B115" s="49"/>
      <c r="C115" s="10">
        <v>4</v>
      </c>
      <c r="D115" s="11">
        <v>45908</v>
      </c>
      <c r="E115" s="12" t="s">
        <v>19</v>
      </c>
      <c r="F115" s="12">
        <v>25</v>
      </c>
      <c r="G115" s="17"/>
    </row>
    <row r="116" spans="2:7" ht="22.5" customHeight="1">
      <c r="B116" s="49"/>
      <c r="C116" s="10">
        <v>5</v>
      </c>
      <c r="D116" s="11">
        <v>45908</v>
      </c>
      <c r="E116" s="12" t="s">
        <v>6</v>
      </c>
      <c r="F116" s="12">
        <v>50</v>
      </c>
      <c r="G116" s="17"/>
    </row>
    <row r="117" spans="2:7" ht="22.5" customHeight="1">
      <c r="B117" s="49"/>
      <c r="C117" s="10">
        <v>6</v>
      </c>
      <c r="D117" s="11">
        <v>45908</v>
      </c>
      <c r="E117" s="12" t="s">
        <v>19</v>
      </c>
      <c r="F117" s="12">
        <v>8</v>
      </c>
      <c r="G117" s="17"/>
    </row>
    <row r="118" spans="2:7" ht="22.5" customHeight="1">
      <c r="B118" s="49"/>
      <c r="C118" s="10">
        <v>7</v>
      </c>
      <c r="D118" s="11">
        <v>45908</v>
      </c>
      <c r="E118" s="12"/>
      <c r="F118" s="12">
        <v>5</v>
      </c>
      <c r="G118" s="17"/>
    </row>
    <row r="119" spans="2:7" ht="22.5" customHeight="1">
      <c r="B119" s="49"/>
      <c r="C119" s="10">
        <v>8</v>
      </c>
      <c r="D119" s="11">
        <v>45908</v>
      </c>
      <c r="E119" s="12" t="s">
        <v>7</v>
      </c>
      <c r="F119" s="12">
        <v>60</v>
      </c>
      <c r="G119" s="17"/>
    </row>
    <row r="120" spans="2:7" ht="22.5" customHeight="1">
      <c r="B120" s="49"/>
      <c r="C120" s="10">
        <v>9</v>
      </c>
      <c r="D120" s="11">
        <v>45908</v>
      </c>
      <c r="E120" s="12" t="s">
        <v>6</v>
      </c>
      <c r="F120" s="12">
        <v>50</v>
      </c>
      <c r="G120" s="17"/>
    </row>
    <row r="121" spans="2:7" ht="22.5" customHeight="1" thickBot="1">
      <c r="B121" s="50"/>
      <c r="C121" s="10">
        <v>10</v>
      </c>
      <c r="D121" s="11">
        <v>45908</v>
      </c>
      <c r="E121" s="12" t="s">
        <v>15</v>
      </c>
      <c r="F121" s="12">
        <v>25</v>
      </c>
      <c r="G121" s="17"/>
    </row>
    <row r="122" spans="2:7" ht="22.5" customHeight="1">
      <c r="B122" s="48">
        <f>SUM(F122:F129)</f>
        <v>680</v>
      </c>
      <c r="C122" s="10">
        <v>1</v>
      </c>
      <c r="D122" s="11">
        <v>45909</v>
      </c>
      <c r="E122" s="12" t="s">
        <v>6</v>
      </c>
      <c r="F122" s="12">
        <v>50</v>
      </c>
      <c r="G122" s="17"/>
    </row>
    <row r="123" spans="2:7" ht="22.5" customHeight="1">
      <c r="B123" s="49"/>
      <c r="C123" s="10">
        <v>2</v>
      </c>
      <c r="D123" s="11">
        <v>45909</v>
      </c>
      <c r="E123" s="12" t="s">
        <v>4</v>
      </c>
      <c r="F123" s="12">
        <v>55</v>
      </c>
      <c r="G123" s="17"/>
    </row>
    <row r="124" spans="2:7" ht="22.5" customHeight="1">
      <c r="B124" s="49"/>
      <c r="C124" s="10">
        <v>3</v>
      </c>
      <c r="D124" s="11">
        <v>45909</v>
      </c>
      <c r="E124" s="12" t="s">
        <v>6</v>
      </c>
      <c r="F124" s="12">
        <v>50</v>
      </c>
      <c r="G124" s="17"/>
    </row>
    <row r="125" spans="2:7" ht="22.5" customHeight="1">
      <c r="B125" s="49"/>
      <c r="C125" s="10">
        <v>4</v>
      </c>
      <c r="D125" s="11">
        <v>45909</v>
      </c>
      <c r="E125" s="12" t="s">
        <v>7</v>
      </c>
      <c r="F125" s="12">
        <v>60</v>
      </c>
      <c r="G125" s="17"/>
    </row>
    <row r="126" spans="2:7" ht="22.5" customHeight="1">
      <c r="B126" s="49"/>
      <c r="C126" s="10">
        <v>5</v>
      </c>
      <c r="D126" s="11">
        <v>45909</v>
      </c>
      <c r="E126" s="12" t="s">
        <v>19</v>
      </c>
      <c r="F126" s="12">
        <v>35</v>
      </c>
      <c r="G126" s="17"/>
    </row>
    <row r="127" spans="2:7" ht="22.5" customHeight="1">
      <c r="B127" s="49"/>
      <c r="C127" s="10">
        <v>6</v>
      </c>
      <c r="D127" s="11">
        <v>45909</v>
      </c>
      <c r="E127" s="12" t="s">
        <v>7</v>
      </c>
      <c r="F127" s="12">
        <v>60</v>
      </c>
      <c r="G127" s="17"/>
    </row>
    <row r="128" spans="2:7" ht="22.5" customHeight="1">
      <c r="B128" s="49"/>
      <c r="C128" s="10">
        <v>7</v>
      </c>
      <c r="D128" s="11">
        <v>45909</v>
      </c>
      <c r="E128" s="12" t="s">
        <v>10</v>
      </c>
      <c r="F128" s="12">
        <v>20</v>
      </c>
      <c r="G128" s="17"/>
    </row>
    <row r="129" spans="2:7" ht="22.5" customHeight="1" thickBot="1">
      <c r="B129" s="50"/>
      <c r="C129" s="10">
        <v>8</v>
      </c>
      <c r="D129" s="11">
        <v>45909</v>
      </c>
      <c r="E129" s="12" t="s">
        <v>17</v>
      </c>
      <c r="F129" s="12">
        <v>350</v>
      </c>
      <c r="G129" s="17"/>
    </row>
    <row r="130" spans="2:7" ht="22.5" customHeight="1">
      <c r="B130" s="48">
        <f>SUM(F130:F139)</f>
        <v>323</v>
      </c>
      <c r="C130" s="10">
        <v>1</v>
      </c>
      <c r="D130" s="11">
        <v>45910</v>
      </c>
      <c r="E130" s="12" t="s">
        <v>4</v>
      </c>
      <c r="F130" s="12">
        <v>55</v>
      </c>
      <c r="G130" s="17"/>
    </row>
    <row r="131" spans="2:7" ht="22.5" customHeight="1">
      <c r="B131" s="49"/>
      <c r="C131" s="10">
        <v>2</v>
      </c>
      <c r="D131" s="11">
        <v>45910</v>
      </c>
      <c r="E131" s="12" t="s">
        <v>19</v>
      </c>
      <c r="F131" s="12">
        <v>43</v>
      </c>
      <c r="G131" s="17"/>
    </row>
    <row r="132" spans="2:7" ht="22.5" customHeight="1">
      <c r="B132" s="49"/>
      <c r="C132" s="10">
        <v>3</v>
      </c>
      <c r="D132" s="11">
        <v>45910</v>
      </c>
      <c r="E132" s="12" t="s">
        <v>15</v>
      </c>
      <c r="F132" s="12">
        <v>35</v>
      </c>
      <c r="G132" s="17"/>
    </row>
    <row r="133" spans="2:7" ht="22.5" customHeight="1">
      <c r="B133" s="49"/>
      <c r="C133" s="10">
        <v>4</v>
      </c>
      <c r="D133" s="11">
        <v>45910</v>
      </c>
      <c r="E133" s="12" t="s">
        <v>7</v>
      </c>
      <c r="F133" s="12">
        <v>60</v>
      </c>
      <c r="G133" s="17"/>
    </row>
    <row r="134" spans="2:7" ht="22.5" customHeight="1">
      <c r="B134" s="49"/>
      <c r="C134" s="10">
        <v>5</v>
      </c>
      <c r="D134" s="11">
        <v>45910</v>
      </c>
      <c r="E134" s="12" t="s">
        <v>5</v>
      </c>
      <c r="F134" s="12">
        <v>6</v>
      </c>
      <c r="G134" s="17"/>
    </row>
    <row r="135" spans="2:7" ht="22.5" customHeight="1">
      <c r="B135" s="49"/>
      <c r="C135" s="10">
        <v>6</v>
      </c>
      <c r="D135" s="11">
        <v>45910</v>
      </c>
      <c r="E135" s="12" t="s">
        <v>18</v>
      </c>
      <c r="F135" s="12">
        <v>40</v>
      </c>
      <c r="G135" s="17"/>
    </row>
    <row r="136" spans="2:7" ht="22.5" customHeight="1">
      <c r="B136" s="49"/>
      <c r="C136" s="10">
        <v>7</v>
      </c>
      <c r="D136" s="11">
        <v>45910</v>
      </c>
      <c r="E136" s="12" t="s">
        <v>6</v>
      </c>
      <c r="F136" s="12">
        <v>20</v>
      </c>
      <c r="G136" s="17"/>
    </row>
    <row r="137" spans="2:7" ht="22.5" customHeight="1">
      <c r="B137" s="49"/>
      <c r="C137" s="10">
        <v>8</v>
      </c>
      <c r="D137" s="11">
        <v>45910</v>
      </c>
      <c r="E137" s="12" t="s">
        <v>15</v>
      </c>
      <c r="F137" s="12">
        <v>35</v>
      </c>
      <c r="G137" s="17"/>
    </row>
    <row r="138" spans="2:7" ht="22.5" customHeight="1">
      <c r="B138" s="49"/>
      <c r="C138" s="10">
        <v>9</v>
      </c>
      <c r="D138" s="11">
        <v>45910</v>
      </c>
      <c r="E138" s="12" t="s">
        <v>5</v>
      </c>
      <c r="F138" s="12">
        <v>9</v>
      </c>
      <c r="G138" s="17"/>
    </row>
    <row r="139" spans="2:7" ht="22.5" customHeight="1" thickBot="1">
      <c r="B139" s="50"/>
      <c r="C139" s="10">
        <v>10</v>
      </c>
      <c r="D139" s="11">
        <v>45910</v>
      </c>
      <c r="E139" s="12" t="s">
        <v>34</v>
      </c>
      <c r="F139" s="12">
        <v>20</v>
      </c>
      <c r="G139" s="17"/>
    </row>
    <row r="140" spans="2:7" ht="22.5" customHeight="1">
      <c r="B140" s="48">
        <f>SUM(F140:F150)</f>
        <v>380</v>
      </c>
      <c r="C140" s="10">
        <v>1</v>
      </c>
      <c r="D140" s="11">
        <v>45911</v>
      </c>
      <c r="E140" s="12" t="s">
        <v>4</v>
      </c>
      <c r="F140" s="12">
        <v>46</v>
      </c>
      <c r="G140" s="17"/>
    </row>
    <row r="141" spans="2:7" ht="22.5" customHeight="1">
      <c r="B141" s="49"/>
      <c r="C141" s="10">
        <v>2</v>
      </c>
      <c r="D141" s="11">
        <v>45911</v>
      </c>
      <c r="E141" s="12" t="s">
        <v>6</v>
      </c>
      <c r="F141" s="12">
        <v>50</v>
      </c>
      <c r="G141" s="17"/>
    </row>
    <row r="142" spans="2:7" ht="22.5" customHeight="1">
      <c r="B142" s="49"/>
      <c r="C142" s="10">
        <v>3</v>
      </c>
      <c r="D142" s="11">
        <v>45911</v>
      </c>
      <c r="E142" s="12" t="s">
        <v>6</v>
      </c>
      <c r="F142" s="12">
        <v>50</v>
      </c>
      <c r="G142" s="17"/>
    </row>
    <row r="143" spans="2:7" ht="22.5" customHeight="1">
      <c r="B143" s="49"/>
      <c r="C143" s="10">
        <v>4</v>
      </c>
      <c r="D143" s="11">
        <v>45911</v>
      </c>
      <c r="E143" s="12" t="s">
        <v>19</v>
      </c>
      <c r="F143" s="12">
        <v>43</v>
      </c>
      <c r="G143" s="17"/>
    </row>
    <row r="144" spans="2:7" ht="22.5" customHeight="1">
      <c r="B144" s="49"/>
      <c r="C144" s="10">
        <v>5</v>
      </c>
      <c r="D144" s="11">
        <v>45911</v>
      </c>
      <c r="E144" s="12" t="s">
        <v>35</v>
      </c>
      <c r="F144" s="12">
        <v>5</v>
      </c>
      <c r="G144" s="17"/>
    </row>
    <row r="145" spans="2:7" ht="22.5" customHeight="1">
      <c r="B145" s="49"/>
      <c r="C145" s="10">
        <v>6</v>
      </c>
      <c r="D145" s="11">
        <v>45911</v>
      </c>
      <c r="E145" s="12" t="s">
        <v>22</v>
      </c>
      <c r="F145" s="12">
        <v>10</v>
      </c>
      <c r="G145" s="17"/>
    </row>
    <row r="146" spans="2:7" ht="22.5" customHeight="1">
      <c r="B146" s="49"/>
      <c r="C146" s="10">
        <v>7</v>
      </c>
      <c r="D146" s="11">
        <v>45911</v>
      </c>
      <c r="E146" s="12" t="s">
        <v>7</v>
      </c>
      <c r="F146" s="12">
        <v>60</v>
      </c>
      <c r="G146" s="17"/>
    </row>
    <row r="147" spans="2:7" ht="22.5" customHeight="1">
      <c r="B147" s="49"/>
      <c r="C147" s="10">
        <v>8</v>
      </c>
      <c r="D147" s="11">
        <v>45911</v>
      </c>
      <c r="E147" s="12" t="s">
        <v>10</v>
      </c>
      <c r="F147" s="12">
        <v>20</v>
      </c>
      <c r="G147" s="17"/>
    </row>
    <row r="148" spans="2:7" ht="22.5" customHeight="1">
      <c r="B148" s="49"/>
      <c r="C148" s="10">
        <v>9</v>
      </c>
      <c r="D148" s="11">
        <v>45911</v>
      </c>
      <c r="E148" s="12" t="s">
        <v>5</v>
      </c>
      <c r="F148" s="12">
        <v>80</v>
      </c>
      <c r="G148" s="17"/>
    </row>
    <row r="149" spans="2:7" ht="22.5" customHeight="1">
      <c r="B149" s="49"/>
      <c r="C149" s="10">
        <v>10</v>
      </c>
      <c r="D149" s="11">
        <v>45911</v>
      </c>
      <c r="E149" s="12" t="s">
        <v>5</v>
      </c>
      <c r="F149" s="12">
        <v>9</v>
      </c>
      <c r="G149" s="17"/>
    </row>
    <row r="150" spans="2:7" ht="22.5" customHeight="1" thickBot="1">
      <c r="B150" s="50"/>
      <c r="C150" s="10">
        <v>11</v>
      </c>
      <c r="D150" s="11">
        <v>45911</v>
      </c>
      <c r="E150" s="12" t="s">
        <v>25</v>
      </c>
      <c r="F150" s="12">
        <v>7</v>
      </c>
      <c r="G150" s="17"/>
    </row>
    <row r="151" spans="2:7" ht="22.5" customHeight="1">
      <c r="B151" s="48">
        <f>SUM(F151:F158)</f>
        <v>521</v>
      </c>
      <c r="C151" s="10">
        <v>1</v>
      </c>
      <c r="D151" s="11">
        <v>45912</v>
      </c>
      <c r="E151" s="12" t="s">
        <v>16</v>
      </c>
      <c r="F151" s="12">
        <v>40</v>
      </c>
      <c r="G151" s="17"/>
    </row>
    <row r="152" spans="2:7" ht="22.5" customHeight="1">
      <c r="B152" s="49"/>
      <c r="C152" s="10">
        <v>2</v>
      </c>
      <c r="D152" s="11">
        <v>45912</v>
      </c>
      <c r="E152" s="12" t="s">
        <v>36</v>
      </c>
      <c r="F152" s="12">
        <v>180</v>
      </c>
      <c r="G152" s="17"/>
    </row>
    <row r="153" spans="2:7" ht="22.5" customHeight="1">
      <c r="B153" s="49"/>
      <c r="C153" s="10">
        <v>3</v>
      </c>
      <c r="D153" s="11">
        <v>45912</v>
      </c>
      <c r="E153" s="12" t="s">
        <v>4</v>
      </c>
      <c r="F153" s="12">
        <v>5</v>
      </c>
      <c r="G153" s="17"/>
    </row>
    <row r="154" spans="2:7" ht="22.5" customHeight="1">
      <c r="B154" s="49"/>
      <c r="C154" s="10">
        <v>4</v>
      </c>
      <c r="D154" s="11">
        <v>45912</v>
      </c>
      <c r="E154" s="12" t="s">
        <v>37</v>
      </c>
      <c r="F154" s="12">
        <v>6</v>
      </c>
      <c r="G154" s="17"/>
    </row>
    <row r="155" spans="2:7" ht="22.5" customHeight="1">
      <c r="B155" s="49"/>
      <c r="C155" s="10">
        <v>5</v>
      </c>
      <c r="D155" s="11">
        <v>45912</v>
      </c>
      <c r="E155" s="12" t="s">
        <v>7</v>
      </c>
      <c r="F155" s="12">
        <v>60</v>
      </c>
      <c r="G155" s="17"/>
    </row>
    <row r="156" spans="2:7" ht="22.5" customHeight="1">
      <c r="B156" s="49"/>
      <c r="C156" s="10">
        <v>6</v>
      </c>
      <c r="D156" s="11">
        <v>45912</v>
      </c>
      <c r="E156" s="12" t="s">
        <v>6</v>
      </c>
      <c r="F156" s="12">
        <v>60</v>
      </c>
      <c r="G156" s="17"/>
    </row>
    <row r="157" spans="2:7" ht="22.5" customHeight="1">
      <c r="B157" s="49"/>
      <c r="C157" s="10">
        <v>7</v>
      </c>
      <c r="D157" s="11">
        <v>45912</v>
      </c>
      <c r="E157" s="12" t="s">
        <v>38</v>
      </c>
      <c r="F157" s="12">
        <v>20</v>
      </c>
      <c r="G157" s="17"/>
    </row>
    <row r="158" spans="2:7" ht="22.5" customHeight="1" thickBot="1">
      <c r="B158" s="50"/>
      <c r="C158" s="10">
        <v>8</v>
      </c>
      <c r="D158" s="11">
        <v>45912</v>
      </c>
      <c r="E158" s="12" t="s">
        <v>12</v>
      </c>
      <c r="F158" s="12">
        <v>150</v>
      </c>
      <c r="G158" s="17"/>
    </row>
    <row r="159" spans="2:7" ht="22.5" customHeight="1">
      <c r="B159" s="48">
        <f>SUM(F159:F165)</f>
        <v>572</v>
      </c>
      <c r="C159" s="10">
        <v>1</v>
      </c>
      <c r="D159" s="11">
        <v>45913</v>
      </c>
      <c r="E159" s="12" t="s">
        <v>16</v>
      </c>
      <c r="F159" s="12">
        <v>40</v>
      </c>
      <c r="G159" s="17"/>
    </row>
    <row r="160" spans="2:7" ht="22.5" customHeight="1">
      <c r="B160" s="49"/>
      <c r="C160" s="10">
        <v>2</v>
      </c>
      <c r="D160" s="11">
        <v>45913</v>
      </c>
      <c r="E160" s="12" t="s">
        <v>19</v>
      </c>
      <c r="F160" s="12">
        <v>35</v>
      </c>
      <c r="G160" s="17"/>
    </row>
    <row r="161" spans="2:7" ht="22.5" customHeight="1">
      <c r="B161" s="49"/>
      <c r="C161" s="10">
        <v>3</v>
      </c>
      <c r="D161" s="11">
        <v>45913</v>
      </c>
      <c r="E161" s="12" t="s">
        <v>7</v>
      </c>
      <c r="F161" s="12">
        <v>60</v>
      </c>
      <c r="G161" s="17"/>
    </row>
    <row r="162" spans="2:7" ht="22.5" customHeight="1">
      <c r="B162" s="49"/>
      <c r="C162" s="10">
        <v>4</v>
      </c>
      <c r="D162" s="11">
        <v>45913</v>
      </c>
      <c r="E162" s="12" t="s">
        <v>6</v>
      </c>
      <c r="F162" s="12">
        <v>100</v>
      </c>
      <c r="G162" s="17"/>
    </row>
    <row r="163" spans="2:7" ht="22.5" customHeight="1">
      <c r="B163" s="49"/>
      <c r="C163" s="10">
        <v>5</v>
      </c>
      <c r="D163" s="11">
        <v>45913</v>
      </c>
      <c r="E163" s="12" t="s">
        <v>4</v>
      </c>
      <c r="F163" s="12">
        <v>27</v>
      </c>
      <c r="G163" s="17"/>
    </row>
    <row r="164" spans="2:7" ht="22.5" customHeight="1">
      <c r="B164" s="49"/>
      <c r="C164" s="10">
        <v>6</v>
      </c>
      <c r="D164" s="11">
        <v>45913</v>
      </c>
      <c r="E164" s="12" t="s">
        <v>5</v>
      </c>
      <c r="F164" s="12">
        <v>10</v>
      </c>
      <c r="G164" s="17"/>
    </row>
    <row r="165" spans="2:7" ht="22.5" customHeight="1" thickBot="1">
      <c r="B165" s="50"/>
      <c r="C165" s="10">
        <v>7</v>
      </c>
      <c r="D165" s="11">
        <v>45913</v>
      </c>
      <c r="E165" s="12" t="s">
        <v>33</v>
      </c>
      <c r="F165" s="12">
        <v>300</v>
      </c>
      <c r="G165" s="17"/>
    </row>
    <row r="166" spans="2:7" ht="22.5" customHeight="1">
      <c r="B166" s="48">
        <f>SUM(F166:F170)</f>
        <v>270</v>
      </c>
      <c r="C166" s="10">
        <v>1</v>
      </c>
      <c r="D166" s="11">
        <v>45914</v>
      </c>
      <c r="E166" s="12" t="s">
        <v>6</v>
      </c>
      <c r="F166" s="12">
        <v>100</v>
      </c>
      <c r="G166" s="17"/>
    </row>
    <row r="167" spans="2:7" ht="22.5" customHeight="1">
      <c r="B167" s="49"/>
      <c r="C167" s="10">
        <v>2</v>
      </c>
      <c r="D167" s="11">
        <v>45914</v>
      </c>
      <c r="E167" s="12" t="s">
        <v>19</v>
      </c>
      <c r="F167" s="12">
        <v>35</v>
      </c>
      <c r="G167" s="17"/>
    </row>
    <row r="168" spans="2:7" ht="22.5" customHeight="1">
      <c r="B168" s="49"/>
      <c r="C168" s="10">
        <v>3</v>
      </c>
      <c r="D168" s="11">
        <v>45914</v>
      </c>
      <c r="E168" s="12" t="s">
        <v>16</v>
      </c>
      <c r="F168" s="12">
        <v>55</v>
      </c>
      <c r="G168" s="17"/>
    </row>
    <row r="169" spans="2:7" ht="22.5" customHeight="1">
      <c r="B169" s="49"/>
      <c r="C169" s="10">
        <v>4</v>
      </c>
      <c r="D169" s="11">
        <v>45914</v>
      </c>
      <c r="E169" s="12" t="s">
        <v>7</v>
      </c>
      <c r="F169" s="12">
        <v>60</v>
      </c>
      <c r="G169" s="17"/>
    </row>
    <row r="170" spans="2:7" ht="22.5" customHeight="1" thickBot="1">
      <c r="B170" s="50"/>
      <c r="C170" s="10">
        <v>5</v>
      </c>
      <c r="D170" s="11">
        <v>45914</v>
      </c>
      <c r="E170" s="12" t="s">
        <v>10</v>
      </c>
      <c r="F170" s="12">
        <v>20</v>
      </c>
      <c r="G170" s="17"/>
    </row>
    <row r="171" spans="2:7" ht="22.5" customHeight="1">
      <c r="B171" s="48">
        <f>SUM(F171:F176)</f>
        <v>338</v>
      </c>
      <c r="C171" s="10">
        <v>1</v>
      </c>
      <c r="D171" s="11">
        <v>45915</v>
      </c>
      <c r="E171" s="12" t="s">
        <v>16</v>
      </c>
      <c r="F171" s="12">
        <v>55</v>
      </c>
      <c r="G171" s="17"/>
    </row>
    <row r="172" spans="2:7" ht="22.5" customHeight="1">
      <c r="B172" s="49"/>
      <c r="C172" s="10">
        <v>2</v>
      </c>
      <c r="D172" s="11">
        <v>45915</v>
      </c>
      <c r="E172" s="12" t="s">
        <v>6</v>
      </c>
      <c r="F172" s="12">
        <v>100</v>
      </c>
      <c r="G172" s="17"/>
    </row>
    <row r="173" spans="2:7" ht="22.5" customHeight="1">
      <c r="B173" s="49"/>
      <c r="C173" s="10">
        <v>3</v>
      </c>
      <c r="D173" s="11">
        <v>45915</v>
      </c>
      <c r="E173" s="12" t="s">
        <v>19</v>
      </c>
      <c r="F173" s="12">
        <v>43</v>
      </c>
      <c r="G173" s="17"/>
    </row>
    <row r="174" spans="2:7" ht="22.5" customHeight="1">
      <c r="B174" s="49"/>
      <c r="C174" s="10">
        <v>4</v>
      </c>
      <c r="D174" s="11">
        <v>45915</v>
      </c>
      <c r="E174" s="12" t="s">
        <v>7</v>
      </c>
      <c r="F174" s="12">
        <v>60</v>
      </c>
      <c r="G174" s="17"/>
    </row>
    <row r="175" spans="2:7" ht="22.5" customHeight="1">
      <c r="B175" s="49"/>
      <c r="C175" s="10">
        <v>5</v>
      </c>
      <c r="D175" s="11">
        <v>45915</v>
      </c>
      <c r="E175" s="12" t="s">
        <v>7</v>
      </c>
      <c r="F175" s="12">
        <v>60</v>
      </c>
      <c r="G175" s="17"/>
    </row>
    <row r="176" spans="2:7" ht="22.5" customHeight="1" thickBot="1">
      <c r="B176" s="50"/>
      <c r="C176" s="10">
        <v>6</v>
      </c>
      <c r="D176" s="11">
        <v>45915</v>
      </c>
      <c r="E176" s="12" t="s">
        <v>10</v>
      </c>
      <c r="F176" s="12">
        <v>20</v>
      </c>
      <c r="G176" s="17"/>
    </row>
    <row r="177" spans="2:7" ht="22.5" customHeight="1">
      <c r="B177" s="48">
        <f>SUM(F177:F183)</f>
        <v>368</v>
      </c>
      <c r="C177" s="10">
        <v>1</v>
      </c>
      <c r="D177" s="11">
        <v>45916</v>
      </c>
      <c r="E177" s="12" t="s">
        <v>4</v>
      </c>
      <c r="F177" s="12">
        <v>55</v>
      </c>
      <c r="G177" s="17"/>
    </row>
    <row r="178" spans="2:7" ht="22.5" customHeight="1">
      <c r="B178" s="49"/>
      <c r="C178" s="10">
        <v>2</v>
      </c>
      <c r="D178" s="11">
        <v>45916</v>
      </c>
      <c r="E178" s="12" t="s">
        <v>6</v>
      </c>
      <c r="F178" s="12">
        <v>100</v>
      </c>
      <c r="G178" s="17"/>
    </row>
    <row r="179" spans="2:7" ht="22.5" customHeight="1">
      <c r="B179" s="49"/>
      <c r="C179" s="10">
        <v>3</v>
      </c>
      <c r="D179" s="11">
        <v>45916</v>
      </c>
      <c r="E179" s="12" t="s">
        <v>19</v>
      </c>
      <c r="F179" s="12">
        <v>43</v>
      </c>
      <c r="G179" s="17"/>
    </row>
    <row r="180" spans="2:7" ht="22.5" customHeight="1">
      <c r="B180" s="49"/>
      <c r="C180" s="10">
        <v>4</v>
      </c>
      <c r="D180" s="11">
        <v>45916</v>
      </c>
      <c r="E180" s="12" t="s">
        <v>7</v>
      </c>
      <c r="F180" s="12">
        <v>60</v>
      </c>
      <c r="G180" s="17"/>
    </row>
    <row r="181" spans="2:7" ht="22.5" customHeight="1">
      <c r="B181" s="49"/>
      <c r="C181" s="10">
        <v>5</v>
      </c>
      <c r="D181" s="11">
        <v>45916</v>
      </c>
      <c r="E181" s="12" t="s">
        <v>5</v>
      </c>
      <c r="F181" s="12">
        <v>70</v>
      </c>
      <c r="G181" s="17"/>
    </row>
    <row r="182" spans="2:7" ht="22.5" customHeight="1">
      <c r="B182" s="49"/>
      <c r="C182" s="10">
        <v>6</v>
      </c>
      <c r="D182" s="11">
        <v>45916</v>
      </c>
      <c r="E182" s="12" t="s">
        <v>22</v>
      </c>
      <c r="F182" s="12">
        <v>10</v>
      </c>
      <c r="G182" s="17"/>
    </row>
    <row r="183" spans="2:7" ht="22.5" customHeight="1" thickBot="1">
      <c r="B183" s="50"/>
      <c r="C183" s="10">
        <v>7</v>
      </c>
      <c r="D183" s="11">
        <v>45916</v>
      </c>
      <c r="E183" s="12" t="s">
        <v>7</v>
      </c>
      <c r="F183" s="12">
        <v>30</v>
      </c>
      <c r="G183" s="17"/>
    </row>
    <row r="184" spans="2:7" ht="22.5" customHeight="1">
      <c r="B184" s="48">
        <f>SUM(F184:F193)</f>
        <v>345</v>
      </c>
      <c r="C184" s="10">
        <v>1</v>
      </c>
      <c r="D184" s="11">
        <v>45917</v>
      </c>
      <c r="E184" s="12" t="s">
        <v>19</v>
      </c>
      <c r="F184" s="12">
        <v>35</v>
      </c>
      <c r="G184" s="17"/>
    </row>
    <row r="185" spans="2:7" ht="22.5" customHeight="1">
      <c r="B185" s="49"/>
      <c r="C185" s="10">
        <v>2</v>
      </c>
      <c r="D185" s="11">
        <v>45917</v>
      </c>
      <c r="E185" s="12" t="s">
        <v>4</v>
      </c>
      <c r="F185" s="12">
        <v>55</v>
      </c>
      <c r="G185" s="17"/>
    </row>
    <row r="186" spans="2:7" ht="22.5" customHeight="1">
      <c r="B186" s="49"/>
      <c r="C186" s="10">
        <v>3</v>
      </c>
      <c r="D186" s="11">
        <v>45917</v>
      </c>
      <c r="E186" s="12" t="s">
        <v>6</v>
      </c>
      <c r="F186" s="12">
        <v>100</v>
      </c>
      <c r="G186" s="17"/>
    </row>
    <row r="187" spans="2:7" ht="22.5" customHeight="1">
      <c r="B187" s="49"/>
      <c r="C187" s="10">
        <v>4</v>
      </c>
      <c r="D187" s="11">
        <v>45917</v>
      </c>
      <c r="E187" s="12" t="s">
        <v>7</v>
      </c>
      <c r="F187" s="12">
        <v>60</v>
      </c>
      <c r="G187" s="17"/>
    </row>
    <row r="188" spans="2:7" ht="22.5" customHeight="1">
      <c r="B188" s="49"/>
      <c r="C188" s="10">
        <v>5</v>
      </c>
      <c r="D188" s="11">
        <v>45917</v>
      </c>
      <c r="E188" s="12" t="s">
        <v>7</v>
      </c>
      <c r="F188" s="12">
        <v>30</v>
      </c>
      <c r="G188" s="17"/>
    </row>
    <row r="189" spans="2:7" ht="22.5" customHeight="1">
      <c r="B189" s="49"/>
      <c r="C189" s="10">
        <v>6</v>
      </c>
      <c r="D189" s="11">
        <v>45917</v>
      </c>
      <c r="E189" s="12" t="s">
        <v>6</v>
      </c>
      <c r="F189" s="12">
        <v>10</v>
      </c>
      <c r="G189" s="17"/>
    </row>
    <row r="190" spans="2:7" ht="22.5" customHeight="1">
      <c r="B190" s="49"/>
      <c r="C190" s="10">
        <v>7</v>
      </c>
      <c r="D190" s="11">
        <v>45917</v>
      </c>
      <c r="E190" s="12" t="s">
        <v>18</v>
      </c>
      <c r="F190" s="12">
        <v>20</v>
      </c>
      <c r="G190" s="17"/>
    </row>
    <row r="191" spans="2:7" ht="22.5" customHeight="1">
      <c r="B191" s="49"/>
      <c r="C191" s="10">
        <v>8</v>
      </c>
      <c r="D191" s="11">
        <v>45917</v>
      </c>
      <c r="E191" s="12" t="s">
        <v>10</v>
      </c>
      <c r="F191" s="12">
        <v>20</v>
      </c>
      <c r="G191" s="17"/>
    </row>
    <row r="192" spans="2:7" ht="22.5" customHeight="1">
      <c r="B192" s="49"/>
      <c r="C192" s="10">
        <v>9</v>
      </c>
      <c r="D192" s="11">
        <v>45917</v>
      </c>
      <c r="E192" s="12" t="s">
        <v>39</v>
      </c>
      <c r="F192" s="12">
        <v>5</v>
      </c>
      <c r="G192" s="17"/>
    </row>
    <row r="193" spans="2:9" ht="22.5" customHeight="1" thickBot="1">
      <c r="B193" s="50"/>
      <c r="C193" s="10">
        <v>10</v>
      </c>
      <c r="D193" s="11">
        <v>45917</v>
      </c>
      <c r="E193" s="12" t="s">
        <v>40</v>
      </c>
      <c r="F193" s="12">
        <v>10</v>
      </c>
      <c r="G193" s="17"/>
    </row>
    <row r="194" spans="2:9" ht="22.5" customHeight="1">
      <c r="B194" s="48">
        <f>SUM(F194:F201)</f>
        <v>253</v>
      </c>
      <c r="C194" s="10">
        <v>1</v>
      </c>
      <c r="D194" s="11">
        <v>45918</v>
      </c>
      <c r="E194" s="12" t="s">
        <v>4</v>
      </c>
      <c r="F194" s="12">
        <v>40</v>
      </c>
      <c r="G194" s="17"/>
    </row>
    <row r="195" spans="2:9" ht="22.5" customHeight="1">
      <c r="B195" s="49"/>
      <c r="C195" s="10">
        <v>2</v>
      </c>
      <c r="D195" s="11">
        <v>45918</v>
      </c>
      <c r="E195" s="12" t="s">
        <v>6</v>
      </c>
      <c r="F195" s="12">
        <v>50</v>
      </c>
      <c r="G195" s="17"/>
    </row>
    <row r="196" spans="2:9" ht="22.5" customHeight="1">
      <c r="B196" s="49"/>
      <c r="C196" s="10">
        <v>3</v>
      </c>
      <c r="D196" s="11">
        <v>45918</v>
      </c>
      <c r="E196" s="12" t="s">
        <v>19</v>
      </c>
      <c r="F196" s="12">
        <v>25</v>
      </c>
      <c r="G196" s="17"/>
    </row>
    <row r="197" spans="2:9" ht="22.5" customHeight="1">
      <c r="B197" s="49"/>
      <c r="C197" s="10">
        <v>4</v>
      </c>
      <c r="D197" s="11">
        <v>45918</v>
      </c>
      <c r="E197" s="12" t="s">
        <v>19</v>
      </c>
      <c r="F197" s="12">
        <v>8</v>
      </c>
      <c r="G197" s="17"/>
      <c r="I197" s="20"/>
    </row>
    <row r="198" spans="2:9" ht="22.5" customHeight="1">
      <c r="B198" s="49"/>
      <c r="C198" s="10">
        <v>5</v>
      </c>
      <c r="D198" s="11">
        <v>45918</v>
      </c>
      <c r="E198" s="12" t="s">
        <v>31</v>
      </c>
      <c r="F198" s="12">
        <v>10</v>
      </c>
      <c r="G198" s="17"/>
      <c r="H198" s="2"/>
      <c r="I198" s="20"/>
    </row>
    <row r="199" spans="2:9" ht="22.5" customHeight="1">
      <c r="B199" s="49"/>
      <c r="C199" s="10">
        <v>6</v>
      </c>
      <c r="D199" s="11">
        <v>45918</v>
      </c>
      <c r="E199" s="12" t="s">
        <v>7</v>
      </c>
      <c r="F199" s="12">
        <v>60</v>
      </c>
      <c r="G199" s="17"/>
      <c r="H199" s="2"/>
      <c r="I199" s="20"/>
    </row>
    <row r="200" spans="2:9" ht="22.5" customHeight="1">
      <c r="B200" s="49"/>
      <c r="C200" s="10">
        <v>7</v>
      </c>
      <c r="D200" s="11">
        <v>45918</v>
      </c>
      <c r="E200" s="12" t="s">
        <v>18</v>
      </c>
      <c r="F200" s="12">
        <v>10</v>
      </c>
      <c r="G200" s="17"/>
      <c r="H200" s="2"/>
      <c r="I200" s="20"/>
    </row>
    <row r="201" spans="2:9" ht="22.5" customHeight="1" thickBot="1">
      <c r="B201" s="50"/>
      <c r="C201" s="10">
        <v>8</v>
      </c>
      <c r="D201" s="11">
        <v>45918</v>
      </c>
      <c r="E201" s="12" t="s">
        <v>6</v>
      </c>
      <c r="F201" s="12">
        <v>50</v>
      </c>
      <c r="G201" s="17"/>
      <c r="H201" s="2"/>
      <c r="I201" s="20"/>
    </row>
    <row r="202" spans="2:9" ht="22.5" customHeight="1">
      <c r="B202" s="48">
        <f>SUM(F202:F206)</f>
        <v>180</v>
      </c>
      <c r="C202" s="10">
        <v>1</v>
      </c>
      <c r="D202" s="11">
        <v>45919</v>
      </c>
      <c r="E202" s="12" t="s">
        <v>4</v>
      </c>
      <c r="F202" s="12">
        <v>40</v>
      </c>
      <c r="G202" s="17"/>
      <c r="H202" s="2"/>
      <c r="I202" s="20"/>
    </row>
    <row r="203" spans="2:9" ht="22.5" customHeight="1">
      <c r="B203" s="49"/>
      <c r="C203" s="10">
        <v>2</v>
      </c>
      <c r="D203" s="11">
        <v>45919</v>
      </c>
      <c r="E203" s="12" t="s">
        <v>6</v>
      </c>
      <c r="F203" s="12">
        <v>50</v>
      </c>
      <c r="G203" s="17"/>
      <c r="H203" s="2"/>
      <c r="I203" s="20"/>
    </row>
    <row r="204" spans="2:9" ht="22.5" customHeight="1">
      <c r="B204" s="49"/>
      <c r="C204" s="10">
        <v>3</v>
      </c>
      <c r="D204" s="11">
        <v>45919</v>
      </c>
      <c r="E204" s="12" t="s">
        <v>6</v>
      </c>
      <c r="F204" s="12">
        <v>50</v>
      </c>
      <c r="G204" s="17"/>
      <c r="H204" s="2"/>
      <c r="I204" s="20"/>
    </row>
    <row r="205" spans="2:9" ht="22.5" customHeight="1">
      <c r="B205" s="49"/>
      <c r="C205" s="10">
        <v>4</v>
      </c>
      <c r="D205" s="11">
        <v>45919</v>
      </c>
      <c r="E205" s="12" t="s">
        <v>7</v>
      </c>
      <c r="F205" s="12">
        <v>30</v>
      </c>
      <c r="G205" s="17"/>
      <c r="H205" s="2"/>
      <c r="I205" s="20"/>
    </row>
    <row r="206" spans="2:9" ht="22.5" customHeight="1" thickBot="1">
      <c r="B206" s="50"/>
      <c r="C206" s="10">
        <v>5</v>
      </c>
      <c r="D206" s="11">
        <v>45919</v>
      </c>
      <c r="E206" s="12" t="s">
        <v>18</v>
      </c>
      <c r="F206" s="12">
        <v>10</v>
      </c>
      <c r="G206" s="17"/>
      <c r="H206" s="2"/>
      <c r="I206" s="20"/>
    </row>
    <row r="207" spans="2:9" ht="22.5" customHeight="1">
      <c r="B207" s="48">
        <f>SUM(F207:F210)</f>
        <v>1027</v>
      </c>
      <c r="C207" s="10">
        <v>1</v>
      </c>
      <c r="D207" s="4"/>
      <c r="E207" s="12"/>
      <c r="F207" s="12">
        <v>767</v>
      </c>
      <c r="G207" s="17"/>
      <c r="H207" s="2"/>
      <c r="I207" s="20"/>
    </row>
    <row r="208" spans="2:9" ht="22.5" customHeight="1">
      <c r="B208" s="49"/>
      <c r="C208" s="10">
        <v>2</v>
      </c>
      <c r="D208" s="11">
        <v>45924</v>
      </c>
      <c r="E208" s="12" t="s">
        <v>4</v>
      </c>
      <c r="F208" s="12">
        <v>90</v>
      </c>
      <c r="G208" s="17"/>
      <c r="H208" s="2"/>
      <c r="I208" s="20"/>
    </row>
    <row r="209" spans="2:9" ht="22.5" customHeight="1">
      <c r="B209" s="49"/>
      <c r="C209" s="10">
        <v>3</v>
      </c>
      <c r="D209" s="11">
        <v>45924</v>
      </c>
      <c r="E209" s="12" t="s">
        <v>6</v>
      </c>
      <c r="F209" s="12">
        <v>100</v>
      </c>
      <c r="G209" s="17"/>
      <c r="H209" s="2"/>
      <c r="I209" s="20"/>
    </row>
    <row r="210" spans="2:9" ht="22.5" customHeight="1" thickBot="1">
      <c r="B210" s="50"/>
      <c r="C210" s="10">
        <v>4</v>
      </c>
      <c r="D210" s="11">
        <v>45924</v>
      </c>
      <c r="E210" s="3" t="s">
        <v>6</v>
      </c>
      <c r="F210" s="3">
        <v>70</v>
      </c>
      <c r="G210" s="19"/>
      <c r="H210" s="2"/>
      <c r="I210" s="20"/>
    </row>
    <row r="211" spans="2:9" ht="22.5" customHeight="1">
      <c r="C211" s="10"/>
      <c r="D211" s="11">
        <v>45924</v>
      </c>
      <c r="E211" s="12" t="s">
        <v>41</v>
      </c>
      <c r="F211" s="12">
        <v>-11623</v>
      </c>
      <c r="G211" s="17"/>
      <c r="H211" s="2"/>
      <c r="I211" s="20"/>
    </row>
    <row r="212" spans="2:9" ht="22.5" customHeight="1">
      <c r="C212" s="5"/>
      <c r="D212" s="4"/>
      <c r="E212" s="3"/>
      <c r="F212" s="3"/>
      <c r="G212" s="19"/>
      <c r="H212" s="2"/>
      <c r="I212" s="20"/>
    </row>
  </sheetData>
  <mergeCells count="28">
    <mergeCell ref="B184:B193"/>
    <mergeCell ref="B194:B201"/>
    <mergeCell ref="B202:B206"/>
    <mergeCell ref="B177:B183"/>
    <mergeCell ref="B166:B170"/>
    <mergeCell ref="B171:B176"/>
    <mergeCell ref="B86:B96"/>
    <mergeCell ref="B122:B129"/>
    <mergeCell ref="B112:B121"/>
    <mergeCell ref="B104:B111"/>
    <mergeCell ref="B151:B158"/>
    <mergeCell ref="B140:B150"/>
    <mergeCell ref="B207:B210"/>
    <mergeCell ref="G1:G2"/>
    <mergeCell ref="D1:F2"/>
    <mergeCell ref="B4:B15"/>
    <mergeCell ref="B16:B26"/>
    <mergeCell ref="B27:B35"/>
    <mergeCell ref="B36:B42"/>
    <mergeCell ref="B43:B49"/>
    <mergeCell ref="B81:B85"/>
    <mergeCell ref="B73:B80"/>
    <mergeCell ref="B59:B65"/>
    <mergeCell ref="B66:B72"/>
    <mergeCell ref="B50:B58"/>
    <mergeCell ref="B97:B103"/>
    <mergeCell ref="B130:B139"/>
    <mergeCell ref="B159:B165"/>
  </mergeCells>
  <conditionalFormatting sqref="F1:F1048576">
    <cfRule type="cellIs" dxfId="109" priority="1" operator="between">
      <formula>100</formula>
      <formula>1000</formula>
    </cfRule>
    <cfRule type="timePeriod" dxfId="108" priority="2" timePeriod="today">
      <formula>FLOOR(F1,1)=TODAY()</formula>
    </cfRule>
    <cfRule type="cellIs" dxfId="107" priority="3" operator="between">
      <formula>100</formula>
      <formula>500</formula>
    </cfRule>
    <cfRule type="colorScale" priority="4">
      <colorScale>
        <cfvo type="min" val="0"/>
        <cfvo type="max" val="0"/>
        <color rgb="FF63BE7B"/>
        <color rgb="FFFFEF9C"/>
      </colorScale>
    </cfRule>
    <cfRule type="top10" dxfId="106" priority="5" percent="1" rank="10"/>
    <cfRule type="dataBar" priority="6">
      <dataBar>
        <cfvo type="min" val="0"/>
        <cfvo type="max" val="0"/>
        <color rgb="FFD6007B"/>
      </dataBar>
    </cfRule>
  </conditionalFormatting>
  <pageMargins left="0.7" right="0.7" top="0.75" bottom="0.75" header="0.3" footer="0.3"/>
  <pageSetup paperSize="9" fitToWidth="0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I205"/>
  <sheetViews>
    <sheetView workbookViewId="0">
      <selection activeCell="D207" sqref="D207"/>
    </sheetView>
  </sheetViews>
  <sheetFormatPr baseColWidth="10" defaultColWidth="20.5703125" defaultRowHeight="22.5" customHeight="1"/>
  <cols>
    <col min="1" max="3" width="20.5703125" style="2"/>
    <col min="4" max="4" width="20.5703125" style="16"/>
    <col min="5" max="5" width="23.5703125" style="2" customWidth="1"/>
    <col min="6" max="16384" width="20.5703125" style="2"/>
  </cols>
  <sheetData>
    <row r="1" spans="2:9" ht="22.5" customHeight="1">
      <c r="D1" s="52" t="s">
        <v>21</v>
      </c>
      <c r="E1" s="53"/>
      <c r="F1" s="54"/>
      <c r="G1" s="51">
        <v>10</v>
      </c>
    </row>
    <row r="2" spans="2:9" ht="22.5" customHeight="1" thickBot="1">
      <c r="D2" s="55"/>
      <c r="E2" s="56"/>
      <c r="F2" s="57"/>
      <c r="G2" s="51"/>
    </row>
    <row r="3" spans="2:9" ht="22.5" customHeight="1" thickBot="1">
      <c r="C3" s="7" t="s">
        <v>20</v>
      </c>
      <c r="D3" s="15" t="s">
        <v>0</v>
      </c>
      <c r="E3" s="8" t="s">
        <v>1</v>
      </c>
      <c r="F3" s="8" t="s">
        <v>2</v>
      </c>
      <c r="G3" s="9" t="s">
        <v>3</v>
      </c>
    </row>
    <row r="4" spans="2:9" ht="22.5" customHeight="1">
      <c r="B4" s="48">
        <f>SUM(F4:F18)</f>
        <v>582</v>
      </c>
      <c r="C4" s="5">
        <v>1</v>
      </c>
      <c r="D4" s="4">
        <v>45925</v>
      </c>
      <c r="E4" s="3" t="s">
        <v>42</v>
      </c>
      <c r="F4" s="3">
        <v>25</v>
      </c>
      <c r="G4" s="18">
        <f>SUM(F4:F205)</f>
        <v>0</v>
      </c>
      <c r="H4" s="2">
        <v>1</v>
      </c>
      <c r="I4" s="2">
        <v>25</v>
      </c>
    </row>
    <row r="5" spans="2:9" ht="22.5" customHeight="1">
      <c r="B5" s="49"/>
      <c r="C5" s="5">
        <v>2</v>
      </c>
      <c r="D5" s="4">
        <v>45925</v>
      </c>
      <c r="E5" s="3" t="s">
        <v>43</v>
      </c>
      <c r="F5" s="3">
        <v>20</v>
      </c>
      <c r="G5" s="6"/>
      <c r="H5" s="2">
        <v>2</v>
      </c>
      <c r="I5" s="2">
        <v>26</v>
      </c>
    </row>
    <row r="6" spans="2:9" ht="22.5" customHeight="1">
      <c r="B6" s="49"/>
      <c r="C6" s="5">
        <v>3</v>
      </c>
      <c r="D6" s="4">
        <v>45925</v>
      </c>
      <c r="E6" s="3" t="s">
        <v>16</v>
      </c>
      <c r="F6" s="3">
        <v>35</v>
      </c>
      <c r="G6" s="6"/>
      <c r="H6" s="2">
        <v>3</v>
      </c>
      <c r="I6" s="2">
        <v>27</v>
      </c>
    </row>
    <row r="7" spans="2:9" ht="22.5" customHeight="1">
      <c r="B7" s="49"/>
      <c r="C7" s="5">
        <v>4</v>
      </c>
      <c r="D7" s="4">
        <v>45925</v>
      </c>
      <c r="E7" s="3" t="s">
        <v>24</v>
      </c>
      <c r="F7" s="3">
        <v>17</v>
      </c>
      <c r="G7" s="6"/>
      <c r="H7" s="2">
        <v>4</v>
      </c>
      <c r="I7" s="2">
        <v>28</v>
      </c>
    </row>
    <row r="8" spans="2:9" ht="22.5" customHeight="1">
      <c r="B8" s="49"/>
      <c r="C8" s="5">
        <v>5</v>
      </c>
      <c r="D8" s="4">
        <v>45925</v>
      </c>
      <c r="E8" s="3" t="s">
        <v>6</v>
      </c>
      <c r="F8" s="3">
        <v>80</v>
      </c>
      <c r="G8" s="6"/>
      <c r="H8" s="2">
        <v>5</v>
      </c>
      <c r="I8" s="2">
        <v>29</v>
      </c>
    </row>
    <row r="9" spans="2:9" ht="22.5" customHeight="1">
      <c r="B9" s="49"/>
      <c r="C9" s="5">
        <v>6</v>
      </c>
      <c r="D9" s="4">
        <v>45925</v>
      </c>
      <c r="E9" s="3" t="s">
        <v>6</v>
      </c>
      <c r="F9" s="3">
        <v>100</v>
      </c>
      <c r="G9" s="6"/>
      <c r="H9" s="2">
        <v>6</v>
      </c>
      <c r="I9" s="2">
        <v>30</v>
      </c>
    </row>
    <row r="10" spans="2:9" ht="22.5" customHeight="1">
      <c r="B10" s="49"/>
      <c r="C10" s="5">
        <v>7</v>
      </c>
      <c r="D10" s="4">
        <v>45925</v>
      </c>
      <c r="E10" s="3" t="s">
        <v>44</v>
      </c>
      <c r="F10" s="3">
        <v>15</v>
      </c>
      <c r="G10" s="6"/>
      <c r="H10" s="2">
        <v>7</v>
      </c>
      <c r="I10" s="2">
        <v>1</v>
      </c>
    </row>
    <row r="11" spans="2:9" ht="22.5" customHeight="1">
      <c r="B11" s="49"/>
      <c r="C11" s="5">
        <v>8</v>
      </c>
      <c r="D11" s="4">
        <v>45925</v>
      </c>
      <c r="E11" s="3" t="s">
        <v>18</v>
      </c>
      <c r="F11" s="3">
        <v>10</v>
      </c>
      <c r="G11" s="6"/>
      <c r="H11" s="2">
        <v>8</v>
      </c>
      <c r="I11" s="2">
        <v>2</v>
      </c>
    </row>
    <row r="12" spans="2:9" ht="22.5" customHeight="1">
      <c r="B12" s="49"/>
      <c r="C12" s="5">
        <v>9</v>
      </c>
      <c r="D12" s="4">
        <v>45925</v>
      </c>
      <c r="E12" s="3" t="s">
        <v>31</v>
      </c>
      <c r="F12" s="3">
        <v>10</v>
      </c>
      <c r="G12" s="6"/>
      <c r="H12" s="2">
        <v>9</v>
      </c>
      <c r="I12" s="2">
        <v>3</v>
      </c>
    </row>
    <row r="13" spans="2:9" ht="22.5" customHeight="1">
      <c r="B13" s="49"/>
      <c r="C13" s="5">
        <v>10</v>
      </c>
      <c r="D13" s="4">
        <v>45925</v>
      </c>
      <c r="E13" s="3" t="s">
        <v>7</v>
      </c>
      <c r="F13" s="3">
        <v>60</v>
      </c>
      <c r="G13" s="6"/>
      <c r="H13" s="2">
        <v>10</v>
      </c>
      <c r="I13" s="2">
        <v>4</v>
      </c>
    </row>
    <row r="14" spans="2:9" ht="22.5" customHeight="1">
      <c r="B14" s="49"/>
      <c r="C14" s="5">
        <v>11</v>
      </c>
      <c r="D14" s="4">
        <v>45925</v>
      </c>
      <c r="E14" s="3" t="s">
        <v>6</v>
      </c>
      <c r="F14" s="3">
        <v>20</v>
      </c>
      <c r="G14" s="6"/>
      <c r="H14" s="2">
        <v>11</v>
      </c>
      <c r="I14" s="2">
        <v>5</v>
      </c>
    </row>
    <row r="15" spans="2:9" ht="22.5" customHeight="1">
      <c r="B15" s="49"/>
      <c r="C15" s="5">
        <v>12</v>
      </c>
      <c r="D15" s="4">
        <v>45925</v>
      </c>
      <c r="E15" s="3" t="s">
        <v>24</v>
      </c>
      <c r="F15" s="3">
        <v>10</v>
      </c>
      <c r="G15" s="6"/>
      <c r="H15" s="2">
        <v>12</v>
      </c>
      <c r="I15" s="2">
        <v>6</v>
      </c>
    </row>
    <row r="16" spans="2:9" ht="22.5" customHeight="1">
      <c r="B16" s="49"/>
      <c r="C16" s="5">
        <v>13</v>
      </c>
      <c r="D16" s="4">
        <v>45925</v>
      </c>
      <c r="E16" s="3" t="s">
        <v>6</v>
      </c>
      <c r="F16" s="3">
        <v>10</v>
      </c>
      <c r="G16" s="6"/>
      <c r="H16" s="2">
        <v>13</v>
      </c>
      <c r="I16" s="2">
        <v>7</v>
      </c>
    </row>
    <row r="17" spans="2:9" ht="22.5" customHeight="1">
      <c r="B17" s="49"/>
      <c r="C17" s="5">
        <v>14</v>
      </c>
      <c r="D17" s="4">
        <v>45925</v>
      </c>
      <c r="E17" s="3" t="s">
        <v>5</v>
      </c>
      <c r="F17" s="3">
        <v>70</v>
      </c>
      <c r="G17" s="6"/>
      <c r="H17" s="2">
        <v>14</v>
      </c>
      <c r="I17" s="2">
        <v>8</v>
      </c>
    </row>
    <row r="18" spans="2:9" ht="22.5" customHeight="1" thickBot="1">
      <c r="B18" s="50"/>
      <c r="C18" s="5">
        <v>15</v>
      </c>
      <c r="D18" s="4">
        <v>45925</v>
      </c>
      <c r="E18" s="3" t="s">
        <v>6</v>
      </c>
      <c r="F18" s="3">
        <v>100</v>
      </c>
      <c r="G18" s="6"/>
      <c r="H18" s="2">
        <v>15</v>
      </c>
      <c r="I18" s="2">
        <v>9</v>
      </c>
    </row>
    <row r="19" spans="2:9" ht="22.5" customHeight="1">
      <c r="B19" s="48">
        <f>SUM(F19:F26)</f>
        <v>342</v>
      </c>
      <c r="C19" s="5">
        <v>1</v>
      </c>
      <c r="D19" s="4">
        <v>45926</v>
      </c>
      <c r="E19" s="3" t="s">
        <v>24</v>
      </c>
      <c r="F19" s="3">
        <v>17</v>
      </c>
      <c r="G19" s="6"/>
      <c r="H19" s="2">
        <v>16</v>
      </c>
      <c r="I19" s="2">
        <v>10</v>
      </c>
    </row>
    <row r="20" spans="2:9" ht="22.5" customHeight="1">
      <c r="B20" s="49"/>
      <c r="C20" s="5">
        <v>2</v>
      </c>
      <c r="D20" s="4">
        <v>45926</v>
      </c>
      <c r="E20" s="3" t="s">
        <v>6</v>
      </c>
      <c r="F20" s="3">
        <v>100</v>
      </c>
      <c r="G20" s="6"/>
      <c r="H20" s="2">
        <v>17</v>
      </c>
      <c r="I20" s="2">
        <v>11</v>
      </c>
    </row>
    <row r="21" spans="2:9" ht="22.5" customHeight="1">
      <c r="B21" s="49"/>
      <c r="C21" s="5">
        <v>3</v>
      </c>
      <c r="D21" s="4">
        <v>45926</v>
      </c>
      <c r="E21" s="3" t="s">
        <v>16</v>
      </c>
      <c r="F21" s="3">
        <v>35</v>
      </c>
      <c r="G21" s="6"/>
      <c r="H21" s="2">
        <v>18</v>
      </c>
      <c r="I21" s="2">
        <v>12</v>
      </c>
    </row>
    <row r="22" spans="2:9" ht="22.5" customHeight="1">
      <c r="B22" s="49"/>
      <c r="C22" s="5">
        <v>4</v>
      </c>
      <c r="D22" s="4">
        <v>45926</v>
      </c>
      <c r="E22" s="3" t="s">
        <v>45</v>
      </c>
      <c r="F22" s="3">
        <v>10</v>
      </c>
      <c r="G22" s="6"/>
      <c r="H22" s="2">
        <v>19</v>
      </c>
      <c r="I22" s="2">
        <v>13</v>
      </c>
    </row>
    <row r="23" spans="2:9" ht="22.5" customHeight="1">
      <c r="B23" s="49"/>
      <c r="C23" s="5">
        <v>5</v>
      </c>
      <c r="D23" s="4">
        <v>45926</v>
      </c>
      <c r="E23" s="3" t="s">
        <v>31</v>
      </c>
      <c r="F23" s="3">
        <v>10</v>
      </c>
      <c r="G23" s="6"/>
      <c r="H23" s="2">
        <v>20</v>
      </c>
      <c r="I23" s="2">
        <v>14</v>
      </c>
    </row>
    <row r="24" spans="2:9" ht="22.5" customHeight="1">
      <c r="B24" s="49"/>
      <c r="C24" s="5">
        <v>6</v>
      </c>
      <c r="D24" s="4">
        <v>45926</v>
      </c>
      <c r="E24" s="12" t="s">
        <v>6</v>
      </c>
      <c r="F24" s="12">
        <v>50</v>
      </c>
      <c r="G24" s="13"/>
      <c r="H24" s="2">
        <v>21</v>
      </c>
      <c r="I24" s="2">
        <v>15</v>
      </c>
    </row>
    <row r="25" spans="2:9" ht="22.5" customHeight="1">
      <c r="B25" s="49"/>
      <c r="C25" s="5">
        <v>7</v>
      </c>
      <c r="D25" s="4">
        <v>45926</v>
      </c>
      <c r="E25" s="12" t="s">
        <v>7</v>
      </c>
      <c r="F25" s="12">
        <v>60</v>
      </c>
      <c r="G25" s="13"/>
      <c r="H25" s="2">
        <v>22</v>
      </c>
      <c r="I25" s="2">
        <v>16</v>
      </c>
    </row>
    <row r="26" spans="2:9" ht="22.5" customHeight="1" thickBot="1">
      <c r="B26" s="49"/>
      <c r="C26" s="5">
        <v>8</v>
      </c>
      <c r="D26" s="4">
        <v>45926</v>
      </c>
      <c r="E26" s="3" t="s">
        <v>6</v>
      </c>
      <c r="F26" s="3">
        <v>60</v>
      </c>
      <c r="G26" s="6"/>
      <c r="H26" s="2">
        <v>23</v>
      </c>
      <c r="I26" s="2">
        <v>17</v>
      </c>
    </row>
    <row r="27" spans="2:9" ht="22.5" customHeight="1">
      <c r="B27" s="48">
        <f>SUM(F27:F38)</f>
        <v>399</v>
      </c>
      <c r="C27" s="5">
        <v>1</v>
      </c>
      <c r="D27" s="4">
        <v>45927</v>
      </c>
      <c r="E27" s="3" t="s">
        <v>6</v>
      </c>
      <c r="F27" s="3">
        <v>100</v>
      </c>
      <c r="G27" s="6"/>
      <c r="H27" s="2">
        <v>24</v>
      </c>
      <c r="I27" s="2">
        <v>18</v>
      </c>
    </row>
    <row r="28" spans="2:9" ht="22.5" customHeight="1">
      <c r="B28" s="49"/>
      <c r="C28" s="5">
        <v>2</v>
      </c>
      <c r="D28" s="4">
        <v>45927</v>
      </c>
      <c r="E28" s="3" t="s">
        <v>16</v>
      </c>
      <c r="F28" s="3">
        <v>35</v>
      </c>
      <c r="G28" s="6"/>
      <c r="H28" s="2">
        <v>25</v>
      </c>
      <c r="I28" s="2">
        <v>19</v>
      </c>
    </row>
    <row r="29" spans="2:9" ht="22.5" customHeight="1">
      <c r="B29" s="49"/>
      <c r="C29" s="5">
        <v>3</v>
      </c>
      <c r="D29" s="4">
        <v>45927</v>
      </c>
      <c r="E29" s="3" t="s">
        <v>46</v>
      </c>
      <c r="F29" s="3">
        <v>30</v>
      </c>
      <c r="G29" s="6"/>
      <c r="H29" s="2">
        <v>26</v>
      </c>
      <c r="I29" s="2">
        <v>20</v>
      </c>
    </row>
    <row r="30" spans="2:9" ht="22.5" customHeight="1">
      <c r="B30" s="49"/>
      <c r="C30" s="5">
        <v>4</v>
      </c>
      <c r="D30" s="4">
        <v>45927</v>
      </c>
      <c r="E30" s="3" t="s">
        <v>24</v>
      </c>
      <c r="F30" s="3">
        <v>15</v>
      </c>
      <c r="G30" s="6"/>
      <c r="H30" s="2">
        <v>27</v>
      </c>
      <c r="I30" s="2">
        <v>21</v>
      </c>
    </row>
    <row r="31" spans="2:9" ht="22.5" customHeight="1">
      <c r="B31" s="49"/>
      <c r="C31" s="5">
        <v>5</v>
      </c>
      <c r="D31" s="4">
        <v>45927</v>
      </c>
      <c r="E31" s="3" t="s">
        <v>7</v>
      </c>
      <c r="F31" s="3">
        <v>60</v>
      </c>
      <c r="G31" s="6"/>
      <c r="H31" s="2">
        <v>28</v>
      </c>
      <c r="I31" s="2">
        <v>22</v>
      </c>
    </row>
    <row r="32" spans="2:9" ht="22.5" customHeight="1">
      <c r="B32" s="49"/>
      <c r="C32" s="5">
        <v>6</v>
      </c>
      <c r="D32" s="4">
        <v>45927</v>
      </c>
      <c r="E32" s="3" t="s">
        <v>6</v>
      </c>
      <c r="F32" s="3">
        <v>50</v>
      </c>
      <c r="G32" s="6"/>
      <c r="H32" s="2">
        <v>29</v>
      </c>
      <c r="I32" s="2">
        <v>23</v>
      </c>
    </row>
    <row r="33" spans="2:9" ht="22.5" customHeight="1">
      <c r="B33" s="49"/>
      <c r="C33" s="5">
        <v>7</v>
      </c>
      <c r="D33" s="4">
        <v>45927</v>
      </c>
      <c r="E33" s="3" t="s">
        <v>26</v>
      </c>
      <c r="F33" s="3">
        <v>2</v>
      </c>
      <c r="G33" s="6"/>
      <c r="H33" s="2">
        <v>30</v>
      </c>
      <c r="I33" s="2">
        <v>24</v>
      </c>
    </row>
    <row r="34" spans="2:9" ht="22.5" customHeight="1">
      <c r="B34" s="49"/>
      <c r="C34" s="5">
        <v>8</v>
      </c>
      <c r="D34" s="4">
        <v>45927</v>
      </c>
      <c r="E34" s="3" t="s">
        <v>7</v>
      </c>
      <c r="F34" s="3">
        <v>60</v>
      </c>
      <c r="G34" s="6"/>
    </row>
    <row r="35" spans="2:9" ht="22.5" customHeight="1">
      <c r="B35" s="49"/>
      <c r="C35" s="5">
        <v>9</v>
      </c>
      <c r="D35" s="4">
        <v>45927</v>
      </c>
      <c r="E35" s="3" t="s">
        <v>6</v>
      </c>
      <c r="F35" s="3">
        <v>20</v>
      </c>
      <c r="G35" s="6"/>
    </row>
    <row r="36" spans="2:9" ht="22.5" customHeight="1">
      <c r="B36" s="49"/>
      <c r="C36" s="5">
        <v>10</v>
      </c>
      <c r="D36" s="4">
        <v>45927</v>
      </c>
      <c r="E36" s="3" t="s">
        <v>6</v>
      </c>
      <c r="F36" s="3">
        <v>10</v>
      </c>
      <c r="G36" s="6"/>
    </row>
    <row r="37" spans="2:9" ht="22.5" customHeight="1">
      <c r="B37" s="49"/>
      <c r="C37" s="5">
        <v>11</v>
      </c>
      <c r="D37" s="4">
        <v>45927</v>
      </c>
      <c r="E37" s="3" t="s">
        <v>47</v>
      </c>
      <c r="F37" s="3">
        <v>7</v>
      </c>
      <c r="G37" s="6"/>
    </row>
    <row r="38" spans="2:9" ht="22.5" customHeight="1" thickBot="1">
      <c r="B38" s="50"/>
      <c r="C38" s="5">
        <v>12</v>
      </c>
      <c r="D38" s="4">
        <v>45927</v>
      </c>
      <c r="E38" s="3" t="s">
        <v>6</v>
      </c>
      <c r="F38" s="3">
        <v>10</v>
      </c>
      <c r="G38" s="6"/>
    </row>
    <row r="39" spans="2:9" ht="22.5" customHeight="1">
      <c r="B39" s="48">
        <f>SUM(F39:F45)</f>
        <v>235</v>
      </c>
      <c r="C39" s="5">
        <v>1</v>
      </c>
      <c r="D39" s="4">
        <v>45928</v>
      </c>
      <c r="E39" s="3" t="s">
        <v>16</v>
      </c>
      <c r="F39" s="3">
        <v>35</v>
      </c>
      <c r="G39" s="6"/>
    </row>
    <row r="40" spans="2:9" ht="22.5" customHeight="1">
      <c r="B40" s="49"/>
      <c r="C40" s="5">
        <v>2</v>
      </c>
      <c r="D40" s="4">
        <v>45928</v>
      </c>
      <c r="E40" s="3" t="s">
        <v>6</v>
      </c>
      <c r="F40" s="3">
        <v>80</v>
      </c>
      <c r="G40" s="6"/>
    </row>
    <row r="41" spans="2:9" ht="22.5" customHeight="1">
      <c r="B41" s="49"/>
      <c r="C41" s="5">
        <v>3</v>
      </c>
      <c r="D41" s="4">
        <v>45928</v>
      </c>
      <c r="E41" s="3" t="s">
        <v>6</v>
      </c>
      <c r="F41" s="3">
        <v>50</v>
      </c>
      <c r="G41" s="6"/>
    </row>
    <row r="42" spans="2:9" ht="22.5" customHeight="1">
      <c r="B42" s="49"/>
      <c r="C42" s="5">
        <v>4</v>
      </c>
      <c r="D42" s="4">
        <v>45928</v>
      </c>
      <c r="E42" s="3" t="s">
        <v>18</v>
      </c>
      <c r="F42" s="3">
        <v>10</v>
      </c>
      <c r="G42" s="6"/>
    </row>
    <row r="43" spans="2:9" ht="22.5" customHeight="1">
      <c r="B43" s="49"/>
      <c r="C43" s="5">
        <v>5</v>
      </c>
      <c r="D43" s="4">
        <v>45928</v>
      </c>
      <c r="E43" s="3" t="s">
        <v>6</v>
      </c>
      <c r="F43" s="3">
        <v>10</v>
      </c>
      <c r="G43" s="6"/>
    </row>
    <row r="44" spans="2:9" ht="22.5" customHeight="1">
      <c r="B44" s="49"/>
      <c r="C44" s="5">
        <v>6</v>
      </c>
      <c r="D44" s="4">
        <v>45928</v>
      </c>
      <c r="E44" s="3" t="s">
        <v>6</v>
      </c>
      <c r="F44" s="3">
        <v>20</v>
      </c>
      <c r="G44" s="6"/>
    </row>
    <row r="45" spans="2:9" ht="22.5" customHeight="1" thickBot="1">
      <c r="B45" s="50"/>
      <c r="C45" s="5">
        <v>7</v>
      </c>
      <c r="D45" s="4">
        <v>45928</v>
      </c>
      <c r="E45" s="3" t="s">
        <v>7</v>
      </c>
      <c r="F45" s="3">
        <v>30</v>
      </c>
      <c r="G45" s="6"/>
    </row>
    <row r="46" spans="2:9" ht="22.5" customHeight="1">
      <c r="B46" s="48">
        <f>SUM(F46:F53)</f>
        <v>245</v>
      </c>
      <c r="C46" s="5">
        <v>1</v>
      </c>
      <c r="D46" s="4">
        <v>45929</v>
      </c>
      <c r="E46" s="3" t="s">
        <v>16</v>
      </c>
      <c r="F46" s="3">
        <v>35</v>
      </c>
      <c r="G46" s="6"/>
    </row>
    <row r="47" spans="2:9" ht="22.5" customHeight="1">
      <c r="B47" s="49"/>
      <c r="C47" s="5">
        <v>2</v>
      </c>
      <c r="D47" s="4">
        <v>45929</v>
      </c>
      <c r="E47" s="12" t="s">
        <v>6</v>
      </c>
      <c r="F47" s="12">
        <v>80</v>
      </c>
      <c r="G47" s="17"/>
    </row>
    <row r="48" spans="2:9" ht="22.5" customHeight="1">
      <c r="B48" s="49"/>
      <c r="C48" s="5">
        <v>3</v>
      </c>
      <c r="D48" s="4">
        <v>45929</v>
      </c>
      <c r="E48" s="12" t="s">
        <v>6</v>
      </c>
      <c r="F48" s="12">
        <v>50</v>
      </c>
      <c r="G48" s="17"/>
    </row>
    <row r="49" spans="2:7" ht="22.5" customHeight="1">
      <c r="B49" s="49"/>
      <c r="C49" s="5">
        <v>4</v>
      </c>
      <c r="D49" s="4">
        <v>45929</v>
      </c>
      <c r="E49" s="12" t="s">
        <v>6</v>
      </c>
      <c r="F49" s="12">
        <v>10</v>
      </c>
      <c r="G49" s="17"/>
    </row>
    <row r="50" spans="2:7" ht="22.5" customHeight="1">
      <c r="B50" s="49"/>
      <c r="C50" s="5">
        <v>5</v>
      </c>
      <c r="D50" s="4">
        <v>45929</v>
      </c>
      <c r="E50" s="12" t="s">
        <v>6</v>
      </c>
      <c r="F50" s="12">
        <v>10</v>
      </c>
      <c r="G50" s="17"/>
    </row>
    <row r="51" spans="2:7" ht="22.5" customHeight="1">
      <c r="B51" s="49"/>
      <c r="C51" s="5">
        <v>6</v>
      </c>
      <c r="D51" s="4"/>
      <c r="E51" s="12" t="s">
        <v>6</v>
      </c>
      <c r="F51" s="12">
        <v>20</v>
      </c>
      <c r="G51" s="17"/>
    </row>
    <row r="52" spans="2:7" ht="22.5" customHeight="1">
      <c r="B52" s="49"/>
      <c r="C52" s="5">
        <v>7</v>
      </c>
      <c r="D52" s="4">
        <v>45929</v>
      </c>
      <c r="E52" s="12" t="s">
        <v>7</v>
      </c>
      <c r="F52" s="12">
        <v>30</v>
      </c>
      <c r="G52" s="17"/>
    </row>
    <row r="53" spans="2:7" ht="22.5" customHeight="1" thickBot="1">
      <c r="B53" s="50"/>
      <c r="C53" s="5">
        <v>8</v>
      </c>
      <c r="D53" s="4">
        <v>45929</v>
      </c>
      <c r="E53" s="12" t="s">
        <v>18</v>
      </c>
      <c r="F53" s="12">
        <v>10</v>
      </c>
      <c r="G53" s="17"/>
    </row>
    <row r="54" spans="2:7" ht="22.5" customHeight="1">
      <c r="B54" s="48">
        <f>SUM(F54:F67)</f>
        <v>556</v>
      </c>
      <c r="C54" s="10">
        <v>1</v>
      </c>
      <c r="D54" s="4">
        <v>45930</v>
      </c>
      <c r="E54" s="12" t="s">
        <v>6</v>
      </c>
      <c r="F54" s="12">
        <v>80</v>
      </c>
      <c r="G54" s="17"/>
    </row>
    <row r="55" spans="2:7" ht="22.5" customHeight="1">
      <c r="B55" s="49"/>
      <c r="C55" s="10">
        <v>2</v>
      </c>
      <c r="D55" s="4">
        <v>45930</v>
      </c>
      <c r="E55" s="12" t="s">
        <v>4</v>
      </c>
      <c r="F55" s="12">
        <v>35</v>
      </c>
      <c r="G55" s="17"/>
    </row>
    <row r="56" spans="2:7" ht="22.5" customHeight="1">
      <c r="B56" s="49"/>
      <c r="C56" s="10">
        <v>3</v>
      </c>
      <c r="D56" s="4">
        <v>45930</v>
      </c>
      <c r="E56" s="12" t="s">
        <v>7</v>
      </c>
      <c r="F56" s="12">
        <v>30</v>
      </c>
      <c r="G56" s="17"/>
    </row>
    <row r="57" spans="2:7" ht="22.5" customHeight="1">
      <c r="B57" s="49"/>
      <c r="C57" s="10">
        <v>4</v>
      </c>
      <c r="D57" s="4">
        <v>45930</v>
      </c>
      <c r="E57" s="12" t="s">
        <v>31</v>
      </c>
      <c r="F57" s="12">
        <v>3</v>
      </c>
      <c r="G57" s="17"/>
    </row>
    <row r="58" spans="2:7" ht="22.5" customHeight="1">
      <c r="B58" s="49"/>
      <c r="C58" s="10">
        <v>5</v>
      </c>
      <c r="D58" s="4">
        <v>45930</v>
      </c>
      <c r="E58" s="12" t="s">
        <v>35</v>
      </c>
      <c r="F58" s="12">
        <v>5</v>
      </c>
      <c r="G58" s="17"/>
    </row>
    <row r="59" spans="2:7" ht="22.5" customHeight="1">
      <c r="B59" s="49"/>
      <c r="C59" s="10">
        <v>6</v>
      </c>
      <c r="D59" s="4">
        <v>45930</v>
      </c>
      <c r="E59" s="12" t="s">
        <v>6</v>
      </c>
      <c r="F59" s="12">
        <v>20</v>
      </c>
      <c r="G59" s="17"/>
    </row>
    <row r="60" spans="2:7" ht="22.5" customHeight="1">
      <c r="B60" s="49"/>
      <c r="C60" s="10">
        <v>7</v>
      </c>
      <c r="D60" s="4">
        <v>45930</v>
      </c>
      <c r="E60" s="12" t="s">
        <v>31</v>
      </c>
      <c r="F60" s="12">
        <v>13</v>
      </c>
      <c r="G60" s="17"/>
    </row>
    <row r="61" spans="2:7" ht="22.5" customHeight="1">
      <c r="B61" s="49"/>
      <c r="C61" s="10">
        <v>8</v>
      </c>
      <c r="D61" s="4">
        <v>45930</v>
      </c>
      <c r="E61" s="12" t="s">
        <v>7</v>
      </c>
      <c r="F61" s="12">
        <v>30</v>
      </c>
      <c r="G61" s="17"/>
    </row>
    <row r="62" spans="2:7" ht="22.5" customHeight="1">
      <c r="B62" s="49"/>
      <c r="C62" s="10">
        <v>9</v>
      </c>
      <c r="D62" s="4">
        <v>45930</v>
      </c>
      <c r="E62" s="12" t="s">
        <v>5</v>
      </c>
      <c r="F62" s="12">
        <v>70</v>
      </c>
      <c r="G62" s="17"/>
    </row>
    <row r="63" spans="2:7" ht="22.5" customHeight="1">
      <c r="B63" s="49"/>
      <c r="C63" s="10">
        <v>10</v>
      </c>
      <c r="D63" s="4">
        <v>45930</v>
      </c>
      <c r="E63" s="12" t="s">
        <v>6</v>
      </c>
      <c r="F63" s="12">
        <v>10</v>
      </c>
      <c r="G63" s="17"/>
    </row>
    <row r="64" spans="2:7" ht="22.5" customHeight="1">
      <c r="B64" s="49"/>
      <c r="C64" s="10">
        <v>11</v>
      </c>
      <c r="D64" s="4">
        <v>45930</v>
      </c>
      <c r="E64" s="12" t="s">
        <v>5</v>
      </c>
      <c r="F64" s="12">
        <v>10</v>
      </c>
      <c r="G64" s="17"/>
    </row>
    <row r="65" spans="2:7" ht="22.5" customHeight="1">
      <c r="B65" s="49"/>
      <c r="C65" s="10">
        <v>12</v>
      </c>
      <c r="D65" s="4">
        <v>45930</v>
      </c>
      <c r="E65" s="12" t="s">
        <v>6</v>
      </c>
      <c r="F65" s="12">
        <v>200</v>
      </c>
      <c r="G65" s="17"/>
    </row>
    <row r="66" spans="2:7" ht="22.5" customHeight="1">
      <c r="B66" s="49"/>
      <c r="C66" s="10">
        <v>13</v>
      </c>
      <c r="D66" s="4">
        <v>45930</v>
      </c>
      <c r="E66" s="12" t="s">
        <v>16</v>
      </c>
      <c r="F66" s="12">
        <v>20</v>
      </c>
      <c r="G66" s="17"/>
    </row>
    <row r="67" spans="2:7" ht="22.5" customHeight="1" thickBot="1">
      <c r="B67" s="50"/>
      <c r="C67" s="10">
        <v>14</v>
      </c>
      <c r="D67" s="4">
        <v>45930</v>
      </c>
      <c r="E67" s="12" t="s">
        <v>48</v>
      </c>
      <c r="F67" s="12">
        <v>30</v>
      </c>
      <c r="G67" s="17"/>
    </row>
    <row r="68" spans="2:7" ht="22.5" customHeight="1">
      <c r="B68" s="48">
        <f>SUM(F68:F75)</f>
        <v>345</v>
      </c>
      <c r="C68" s="10">
        <v>1</v>
      </c>
      <c r="D68" s="4">
        <v>45931</v>
      </c>
      <c r="E68" s="12" t="s">
        <v>6</v>
      </c>
      <c r="F68" s="12">
        <v>100</v>
      </c>
      <c r="G68" s="17"/>
    </row>
    <row r="69" spans="2:7" ht="22.5" customHeight="1">
      <c r="B69" s="49"/>
      <c r="C69" s="10">
        <v>2</v>
      </c>
      <c r="D69" s="4">
        <v>45931</v>
      </c>
      <c r="E69" s="12" t="s">
        <v>16</v>
      </c>
      <c r="F69" s="12">
        <v>35</v>
      </c>
      <c r="G69" s="17"/>
    </row>
    <row r="70" spans="2:7" ht="22.5" customHeight="1">
      <c r="B70" s="49"/>
      <c r="C70" s="10">
        <v>3</v>
      </c>
      <c r="D70" s="4">
        <v>45931</v>
      </c>
      <c r="E70" s="12" t="s">
        <v>6</v>
      </c>
      <c r="F70" s="12">
        <v>100</v>
      </c>
      <c r="G70" s="17"/>
    </row>
    <row r="71" spans="2:7" ht="22.5" customHeight="1">
      <c r="B71" s="49"/>
      <c r="C71" s="10">
        <v>4</v>
      </c>
      <c r="D71" s="4">
        <v>45931</v>
      </c>
      <c r="E71" s="12" t="s">
        <v>5</v>
      </c>
      <c r="F71" s="12">
        <v>10</v>
      </c>
      <c r="G71" s="17"/>
    </row>
    <row r="72" spans="2:7" ht="22.5" customHeight="1">
      <c r="B72" s="49"/>
      <c r="C72" s="10">
        <v>5</v>
      </c>
      <c r="D72" s="4">
        <v>45931</v>
      </c>
      <c r="E72" s="12" t="s">
        <v>38</v>
      </c>
      <c r="F72" s="12">
        <v>10</v>
      </c>
      <c r="G72" s="17"/>
    </row>
    <row r="73" spans="2:7" ht="22.5" customHeight="1">
      <c r="B73" s="49"/>
      <c r="C73" s="10">
        <v>6</v>
      </c>
      <c r="D73" s="4">
        <v>45931</v>
      </c>
      <c r="E73" s="12" t="s">
        <v>31</v>
      </c>
      <c r="F73" s="12">
        <v>10</v>
      </c>
      <c r="G73" s="17"/>
    </row>
    <row r="74" spans="2:7" ht="22.5" customHeight="1">
      <c r="B74" s="49"/>
      <c r="C74" s="10">
        <v>7</v>
      </c>
      <c r="D74" s="4">
        <v>45931</v>
      </c>
      <c r="E74" s="12" t="s">
        <v>7</v>
      </c>
      <c r="F74" s="12">
        <v>60</v>
      </c>
      <c r="G74" s="17"/>
    </row>
    <row r="75" spans="2:7" ht="22.5" customHeight="1" thickBot="1">
      <c r="B75" s="50"/>
      <c r="C75" s="10">
        <v>8</v>
      </c>
      <c r="D75" s="4">
        <v>45931</v>
      </c>
      <c r="E75" s="12" t="s">
        <v>6</v>
      </c>
      <c r="F75" s="12">
        <v>20</v>
      </c>
      <c r="G75" s="17"/>
    </row>
    <row r="76" spans="2:7" ht="22.5" customHeight="1">
      <c r="B76" s="48">
        <f>SUM(F76:F85)</f>
        <v>624</v>
      </c>
      <c r="C76" s="10">
        <v>1</v>
      </c>
      <c r="D76" s="4">
        <v>45932</v>
      </c>
      <c r="E76" s="12" t="s">
        <v>16</v>
      </c>
      <c r="F76" s="12">
        <v>35</v>
      </c>
      <c r="G76" s="17"/>
    </row>
    <row r="77" spans="2:7" ht="22.5" customHeight="1">
      <c r="B77" s="49"/>
      <c r="C77" s="10">
        <v>2</v>
      </c>
      <c r="D77" s="4">
        <v>45932</v>
      </c>
      <c r="E77" s="12" t="s">
        <v>6</v>
      </c>
      <c r="F77" s="12">
        <v>100</v>
      </c>
      <c r="G77" s="17"/>
    </row>
    <row r="78" spans="2:7" ht="22.5" customHeight="1">
      <c r="B78" s="49"/>
      <c r="C78" s="10">
        <v>3</v>
      </c>
      <c r="D78" s="4">
        <v>45932</v>
      </c>
      <c r="E78" s="12" t="s">
        <v>4</v>
      </c>
      <c r="F78" s="12">
        <v>9</v>
      </c>
      <c r="G78" s="17"/>
    </row>
    <row r="79" spans="2:7" ht="22.5" customHeight="1">
      <c r="B79" s="49"/>
      <c r="C79" s="10">
        <v>4</v>
      </c>
      <c r="D79" s="4">
        <v>45932</v>
      </c>
      <c r="E79" s="12" t="s">
        <v>49</v>
      </c>
      <c r="F79" s="12">
        <v>10</v>
      </c>
      <c r="G79" s="17"/>
    </row>
    <row r="80" spans="2:7" ht="22.5" customHeight="1">
      <c r="B80" s="49"/>
      <c r="C80" s="10">
        <v>5</v>
      </c>
      <c r="D80" s="4">
        <v>45932</v>
      </c>
      <c r="E80" s="12" t="s">
        <v>6</v>
      </c>
      <c r="F80" s="12">
        <v>100</v>
      </c>
      <c r="G80" s="17"/>
    </row>
    <row r="81" spans="2:7" ht="22.5" customHeight="1">
      <c r="B81" s="49"/>
      <c r="C81" s="10">
        <v>6</v>
      </c>
      <c r="D81" s="4">
        <v>45932</v>
      </c>
      <c r="E81" s="12" t="s">
        <v>33</v>
      </c>
      <c r="F81" s="12">
        <v>300</v>
      </c>
      <c r="G81" s="17"/>
    </row>
    <row r="82" spans="2:7" ht="22.5" customHeight="1">
      <c r="B82" s="49"/>
      <c r="C82" s="10">
        <v>7</v>
      </c>
      <c r="D82" s="4">
        <v>45932</v>
      </c>
      <c r="E82" s="12" t="s">
        <v>6</v>
      </c>
      <c r="F82" s="12">
        <v>20</v>
      </c>
      <c r="G82" s="17"/>
    </row>
    <row r="83" spans="2:7" ht="22.5" customHeight="1">
      <c r="B83" s="49"/>
      <c r="C83" s="10">
        <v>8</v>
      </c>
      <c r="D83" s="4">
        <v>45932</v>
      </c>
      <c r="E83" s="12" t="s">
        <v>7</v>
      </c>
      <c r="F83" s="12">
        <v>30</v>
      </c>
      <c r="G83" s="17"/>
    </row>
    <row r="84" spans="2:7" ht="22.5" customHeight="1">
      <c r="B84" s="49"/>
      <c r="C84" s="10">
        <v>9</v>
      </c>
      <c r="D84" s="4">
        <v>45932</v>
      </c>
      <c r="E84" s="12" t="s">
        <v>18</v>
      </c>
      <c r="F84" s="12">
        <v>10</v>
      </c>
      <c r="G84" s="17"/>
    </row>
    <row r="85" spans="2:7" ht="22.5" customHeight="1" thickBot="1">
      <c r="B85" s="49"/>
      <c r="C85" s="10">
        <v>10</v>
      </c>
      <c r="D85" s="4">
        <v>45932</v>
      </c>
      <c r="E85" s="12" t="s">
        <v>5</v>
      </c>
      <c r="F85" s="12">
        <v>10</v>
      </c>
      <c r="G85" s="17"/>
    </row>
    <row r="86" spans="2:7" ht="22.5" customHeight="1">
      <c r="B86" s="48">
        <f>SUM(F86:F95)</f>
        <v>422</v>
      </c>
      <c r="C86" s="10">
        <v>1</v>
      </c>
      <c r="D86" s="4">
        <v>45933</v>
      </c>
      <c r="E86" s="12" t="s">
        <v>6</v>
      </c>
      <c r="F86" s="12">
        <v>100</v>
      </c>
      <c r="G86" s="17"/>
    </row>
    <row r="87" spans="2:7" ht="22.5" customHeight="1">
      <c r="B87" s="49"/>
      <c r="C87" s="10">
        <v>2</v>
      </c>
      <c r="D87" s="4">
        <v>45933</v>
      </c>
      <c r="E87" s="12" t="s">
        <v>24</v>
      </c>
      <c r="F87" s="12">
        <v>9</v>
      </c>
      <c r="G87" s="17"/>
    </row>
    <row r="88" spans="2:7" ht="22.5" customHeight="1">
      <c r="B88" s="49"/>
      <c r="C88" s="10">
        <v>3</v>
      </c>
      <c r="D88" s="4">
        <v>45933</v>
      </c>
      <c r="E88" s="12" t="s">
        <v>16</v>
      </c>
      <c r="F88" s="12">
        <v>30</v>
      </c>
      <c r="G88" s="17"/>
    </row>
    <row r="89" spans="2:7" ht="22.5" customHeight="1">
      <c r="B89" s="49"/>
      <c r="C89" s="10">
        <v>4</v>
      </c>
      <c r="D89" s="4">
        <v>45933</v>
      </c>
      <c r="E89" s="12" t="s">
        <v>6</v>
      </c>
      <c r="F89" s="12">
        <v>100</v>
      </c>
      <c r="G89" s="17"/>
    </row>
    <row r="90" spans="2:7" ht="22.5" customHeight="1">
      <c r="B90" s="49"/>
      <c r="C90" s="10">
        <v>5</v>
      </c>
      <c r="D90" s="4">
        <v>45933</v>
      </c>
      <c r="E90" s="12" t="s">
        <v>6</v>
      </c>
      <c r="F90" s="12">
        <v>50</v>
      </c>
      <c r="G90" s="17"/>
    </row>
    <row r="91" spans="2:7" ht="22.5" customHeight="1">
      <c r="B91" s="49"/>
      <c r="C91" s="10">
        <v>6</v>
      </c>
      <c r="D91" s="4">
        <v>45933</v>
      </c>
      <c r="E91" s="12" t="s">
        <v>18</v>
      </c>
      <c r="F91" s="12">
        <v>10</v>
      </c>
      <c r="G91" s="17"/>
    </row>
    <row r="92" spans="2:7" ht="22.5" customHeight="1">
      <c r="B92" s="49"/>
      <c r="C92" s="10">
        <v>7</v>
      </c>
      <c r="D92" s="4">
        <v>45933</v>
      </c>
      <c r="E92" s="12" t="s">
        <v>6</v>
      </c>
      <c r="F92" s="12">
        <v>50</v>
      </c>
      <c r="G92" s="17"/>
    </row>
    <row r="93" spans="2:7" ht="22.5" customHeight="1">
      <c r="B93" s="49"/>
      <c r="C93" s="10">
        <v>8</v>
      </c>
      <c r="D93" s="4">
        <v>45933</v>
      </c>
      <c r="E93" s="12" t="s">
        <v>31</v>
      </c>
      <c r="F93" s="12">
        <v>10</v>
      </c>
      <c r="G93" s="17"/>
    </row>
    <row r="94" spans="2:7" ht="22.5" customHeight="1">
      <c r="B94" s="49"/>
      <c r="C94" s="10">
        <v>9</v>
      </c>
      <c r="D94" s="4">
        <v>45933</v>
      </c>
      <c r="E94" s="12" t="s">
        <v>7</v>
      </c>
      <c r="F94" s="12">
        <v>60</v>
      </c>
      <c r="G94" s="17"/>
    </row>
    <row r="95" spans="2:7" ht="22.5" customHeight="1" thickBot="1">
      <c r="B95" s="50"/>
      <c r="C95" s="10">
        <v>10</v>
      </c>
      <c r="D95" s="4">
        <v>45933</v>
      </c>
      <c r="E95" s="12" t="s">
        <v>6</v>
      </c>
      <c r="F95" s="12">
        <v>3</v>
      </c>
      <c r="G95" s="17"/>
    </row>
    <row r="96" spans="2:7" ht="22.5" customHeight="1">
      <c r="B96" s="48">
        <f>SUM(F96:F102)</f>
        <v>222</v>
      </c>
      <c r="C96" s="10">
        <v>1</v>
      </c>
      <c r="D96" s="4">
        <v>45934</v>
      </c>
      <c r="E96" s="12" t="s">
        <v>4</v>
      </c>
      <c r="F96" s="12">
        <v>8</v>
      </c>
      <c r="G96" s="17"/>
    </row>
    <row r="97" spans="2:7" ht="22.5" customHeight="1">
      <c r="B97" s="49"/>
      <c r="C97" s="10">
        <v>2</v>
      </c>
      <c r="D97" s="4">
        <v>45934</v>
      </c>
      <c r="E97" s="12" t="s">
        <v>16</v>
      </c>
      <c r="F97" s="12">
        <v>30</v>
      </c>
      <c r="G97" s="17"/>
    </row>
    <row r="98" spans="2:7" ht="22.5" customHeight="1">
      <c r="B98" s="49"/>
      <c r="C98" s="10">
        <v>3</v>
      </c>
      <c r="D98" s="4">
        <v>45934</v>
      </c>
      <c r="E98" s="12" t="s">
        <v>6</v>
      </c>
      <c r="F98" s="12">
        <v>100</v>
      </c>
      <c r="G98" s="17"/>
    </row>
    <row r="99" spans="2:7" ht="22.5" customHeight="1">
      <c r="B99" s="49"/>
      <c r="C99" s="10">
        <v>4</v>
      </c>
      <c r="D99" s="4">
        <v>45934</v>
      </c>
      <c r="E99" s="12" t="s">
        <v>6</v>
      </c>
      <c r="F99" s="12">
        <v>50</v>
      </c>
      <c r="G99" s="17"/>
    </row>
    <row r="100" spans="2:7" ht="22.5" customHeight="1">
      <c r="B100" s="49"/>
      <c r="C100" s="10">
        <v>5</v>
      </c>
      <c r="D100" s="4">
        <v>45934</v>
      </c>
      <c r="E100" s="12" t="s">
        <v>6</v>
      </c>
      <c r="F100" s="12">
        <v>10</v>
      </c>
      <c r="G100" s="17"/>
    </row>
    <row r="101" spans="2:7" ht="22.5" customHeight="1">
      <c r="B101" s="49"/>
      <c r="C101" s="10">
        <v>6</v>
      </c>
      <c r="D101" s="4">
        <v>45934</v>
      </c>
      <c r="E101" s="12" t="s">
        <v>50</v>
      </c>
      <c r="F101" s="12">
        <v>4</v>
      </c>
      <c r="G101" s="17"/>
    </row>
    <row r="102" spans="2:7" ht="22.5" customHeight="1" thickBot="1">
      <c r="B102" s="50"/>
      <c r="C102" s="10">
        <v>7</v>
      </c>
      <c r="D102" s="4">
        <v>45934</v>
      </c>
      <c r="E102" s="12" t="s">
        <v>6</v>
      </c>
      <c r="F102" s="12">
        <v>20</v>
      </c>
      <c r="G102" s="17"/>
    </row>
    <row r="103" spans="2:7" ht="22.5" customHeight="1">
      <c r="B103" s="48">
        <f>SUM(F103:F111)</f>
        <v>380</v>
      </c>
      <c r="C103" s="10">
        <v>1</v>
      </c>
      <c r="D103" s="4">
        <v>45935</v>
      </c>
      <c r="E103" s="12" t="s">
        <v>6</v>
      </c>
      <c r="F103" s="12">
        <v>100</v>
      </c>
      <c r="G103" s="17"/>
    </row>
    <row r="104" spans="2:7" ht="22.5" customHeight="1">
      <c r="B104" s="49"/>
      <c r="C104" s="10">
        <v>2</v>
      </c>
      <c r="D104" s="4">
        <v>45935</v>
      </c>
      <c r="E104" s="12" t="s">
        <v>16</v>
      </c>
      <c r="F104" s="12">
        <v>30</v>
      </c>
      <c r="G104" s="17"/>
    </row>
    <row r="105" spans="2:7" ht="22.5" customHeight="1">
      <c r="B105" s="49"/>
      <c r="C105" s="10">
        <v>3</v>
      </c>
      <c r="D105" s="4">
        <v>45935</v>
      </c>
      <c r="E105" s="12" t="s">
        <v>6</v>
      </c>
      <c r="F105" s="12">
        <v>50</v>
      </c>
      <c r="G105" s="17"/>
    </row>
    <row r="106" spans="2:7" ht="22.5" customHeight="1">
      <c r="B106" s="49"/>
      <c r="C106" s="10">
        <v>4</v>
      </c>
      <c r="D106" s="4">
        <v>45935</v>
      </c>
      <c r="E106" s="12" t="s">
        <v>6</v>
      </c>
      <c r="F106" s="12">
        <v>50</v>
      </c>
      <c r="G106" s="17"/>
    </row>
    <row r="107" spans="2:7" ht="22.5" customHeight="1">
      <c r="B107" s="49"/>
      <c r="C107" s="10">
        <v>5</v>
      </c>
      <c r="D107" s="4">
        <v>45935</v>
      </c>
      <c r="E107" s="12" t="s">
        <v>7</v>
      </c>
      <c r="F107" s="12">
        <v>30</v>
      </c>
      <c r="G107" s="17"/>
    </row>
    <row r="108" spans="2:7" ht="22.5" customHeight="1">
      <c r="B108" s="49"/>
      <c r="C108" s="10">
        <v>6</v>
      </c>
      <c r="D108" s="4">
        <v>45935</v>
      </c>
      <c r="E108" s="12" t="s">
        <v>18</v>
      </c>
      <c r="F108" s="12">
        <v>10</v>
      </c>
      <c r="G108" s="17"/>
    </row>
    <row r="109" spans="2:7" ht="22.5" customHeight="1">
      <c r="B109" s="49"/>
      <c r="C109" s="10">
        <v>7</v>
      </c>
      <c r="D109" s="4">
        <v>45935</v>
      </c>
      <c r="E109" s="12" t="s">
        <v>7</v>
      </c>
      <c r="F109" s="12">
        <v>30</v>
      </c>
      <c r="G109" s="17"/>
    </row>
    <row r="110" spans="2:7" ht="22.5" customHeight="1">
      <c r="B110" s="49"/>
      <c r="C110" s="10">
        <v>8</v>
      </c>
      <c r="D110" s="4">
        <v>45935</v>
      </c>
      <c r="E110" s="12" t="s">
        <v>5</v>
      </c>
      <c r="F110" s="12">
        <v>70</v>
      </c>
      <c r="G110" s="17"/>
    </row>
    <row r="111" spans="2:7" ht="22.5" customHeight="1" thickBot="1">
      <c r="B111" s="49"/>
      <c r="C111" s="10">
        <v>9</v>
      </c>
      <c r="D111" s="4">
        <v>45935</v>
      </c>
      <c r="E111" s="12" t="s">
        <v>5</v>
      </c>
      <c r="F111" s="12">
        <v>10</v>
      </c>
      <c r="G111" s="17"/>
    </row>
    <row r="112" spans="2:7" ht="22.5" customHeight="1">
      <c r="B112" s="48">
        <f>SUM(F112:F118)</f>
        <v>275</v>
      </c>
      <c r="C112" s="10">
        <v>1</v>
      </c>
      <c r="D112" s="4">
        <v>45936</v>
      </c>
      <c r="E112" s="12" t="s">
        <v>6</v>
      </c>
      <c r="F112" s="12">
        <v>80</v>
      </c>
      <c r="G112" s="17"/>
    </row>
    <row r="113" spans="2:7" ht="22.5" customHeight="1">
      <c r="B113" s="49"/>
      <c r="C113" s="10">
        <v>2</v>
      </c>
      <c r="D113" s="4">
        <v>45936</v>
      </c>
      <c r="E113" s="12" t="s">
        <v>16</v>
      </c>
      <c r="F113" s="12">
        <v>30</v>
      </c>
      <c r="G113" s="17"/>
    </row>
    <row r="114" spans="2:7" ht="22.5" customHeight="1">
      <c r="B114" s="49"/>
      <c r="C114" s="10">
        <v>3</v>
      </c>
      <c r="D114" s="4">
        <v>45936</v>
      </c>
      <c r="E114" s="12" t="s">
        <v>51</v>
      </c>
      <c r="F114" s="12">
        <v>15</v>
      </c>
      <c r="G114" s="17"/>
    </row>
    <row r="115" spans="2:7" ht="22.5" customHeight="1">
      <c r="B115" s="49"/>
      <c r="C115" s="10">
        <v>4</v>
      </c>
      <c r="D115" s="4">
        <v>45936</v>
      </c>
      <c r="E115" s="12" t="s">
        <v>7</v>
      </c>
      <c r="F115" s="12">
        <v>60</v>
      </c>
      <c r="G115" s="17"/>
    </row>
    <row r="116" spans="2:7" ht="22.5" customHeight="1">
      <c r="B116" s="49"/>
      <c r="C116" s="10">
        <v>5</v>
      </c>
      <c r="D116" s="4">
        <v>45936</v>
      </c>
      <c r="E116" s="12" t="s">
        <v>6</v>
      </c>
      <c r="F116" s="12">
        <v>50</v>
      </c>
      <c r="G116" s="17"/>
    </row>
    <row r="117" spans="2:7" ht="22.5" customHeight="1">
      <c r="B117" s="49"/>
      <c r="C117" s="10">
        <v>6</v>
      </c>
      <c r="D117" s="4">
        <v>45936</v>
      </c>
      <c r="E117" s="12" t="s">
        <v>18</v>
      </c>
      <c r="F117" s="12">
        <v>10</v>
      </c>
      <c r="G117" s="17"/>
    </row>
    <row r="118" spans="2:7" ht="22.5" customHeight="1" thickBot="1">
      <c r="B118" s="50"/>
      <c r="C118" s="10">
        <v>7</v>
      </c>
      <c r="D118" s="4">
        <v>45936</v>
      </c>
      <c r="E118" s="12" t="s">
        <v>7</v>
      </c>
      <c r="F118" s="12">
        <v>30</v>
      </c>
      <c r="G118" s="17"/>
    </row>
    <row r="119" spans="2:7" ht="22.5" customHeight="1">
      <c r="B119" s="48">
        <f>SUM(F119:F124)</f>
        <v>285</v>
      </c>
      <c r="C119" s="10">
        <v>1</v>
      </c>
      <c r="D119" s="4">
        <v>45937</v>
      </c>
      <c r="E119" s="12" t="s">
        <v>6</v>
      </c>
      <c r="F119" s="12">
        <v>100</v>
      </c>
      <c r="G119" s="17"/>
    </row>
    <row r="120" spans="2:7" ht="22.5" customHeight="1">
      <c r="B120" s="49"/>
      <c r="C120" s="10">
        <v>2</v>
      </c>
      <c r="D120" s="4">
        <v>45937</v>
      </c>
      <c r="E120" s="12" t="s">
        <v>16</v>
      </c>
      <c r="F120" s="12">
        <v>30</v>
      </c>
      <c r="G120" s="17"/>
    </row>
    <row r="121" spans="2:7" ht="22.5" customHeight="1">
      <c r="B121" s="49"/>
      <c r="C121" s="10">
        <v>3</v>
      </c>
      <c r="D121" s="4">
        <v>45937</v>
      </c>
      <c r="E121" s="12" t="s">
        <v>51</v>
      </c>
      <c r="F121" s="12">
        <v>15</v>
      </c>
      <c r="G121" s="17"/>
    </row>
    <row r="122" spans="2:7" ht="22.5" customHeight="1">
      <c r="B122" s="49"/>
      <c r="C122" s="10">
        <v>4</v>
      </c>
      <c r="D122" s="4">
        <v>45937</v>
      </c>
      <c r="E122" s="12" t="s">
        <v>6</v>
      </c>
      <c r="F122" s="12">
        <v>100</v>
      </c>
      <c r="G122" s="17"/>
    </row>
    <row r="123" spans="2:7" ht="22.5" customHeight="1">
      <c r="B123" s="49"/>
      <c r="C123" s="10">
        <v>5</v>
      </c>
      <c r="D123" s="4">
        <v>45937</v>
      </c>
      <c r="E123" s="12" t="s">
        <v>7</v>
      </c>
      <c r="F123" s="12">
        <v>30</v>
      </c>
      <c r="G123" s="17"/>
    </row>
    <row r="124" spans="2:7" ht="22.5" customHeight="1" thickBot="1">
      <c r="B124" s="49"/>
      <c r="C124" s="10">
        <v>6</v>
      </c>
      <c r="D124" s="4">
        <v>45937</v>
      </c>
      <c r="E124" s="12" t="s">
        <v>18</v>
      </c>
      <c r="F124" s="12">
        <v>10</v>
      </c>
      <c r="G124" s="17"/>
    </row>
    <row r="125" spans="2:7" ht="22.5" customHeight="1">
      <c r="B125" s="48">
        <f>SUM(F125:F128)</f>
        <v>275</v>
      </c>
      <c r="C125" s="10">
        <v>1</v>
      </c>
      <c r="D125" s="4">
        <v>45938</v>
      </c>
      <c r="E125" s="12" t="s">
        <v>4</v>
      </c>
      <c r="F125" s="12">
        <v>45</v>
      </c>
      <c r="G125" s="17"/>
    </row>
    <row r="126" spans="2:7" ht="22.5" customHeight="1">
      <c r="B126" s="49"/>
      <c r="C126" s="10">
        <v>2</v>
      </c>
      <c r="D126" s="4">
        <v>45938</v>
      </c>
      <c r="E126" s="12" t="s">
        <v>6</v>
      </c>
      <c r="F126" s="12">
        <v>100</v>
      </c>
      <c r="G126" s="17"/>
    </row>
    <row r="127" spans="2:7" ht="22.5" customHeight="1">
      <c r="B127" s="49"/>
      <c r="C127" s="10">
        <v>3</v>
      </c>
      <c r="D127" s="4">
        <v>45938</v>
      </c>
      <c r="E127" s="12" t="s">
        <v>6</v>
      </c>
      <c r="F127" s="12">
        <v>100</v>
      </c>
      <c r="G127" s="17"/>
    </row>
    <row r="128" spans="2:7" ht="22.5" customHeight="1" thickBot="1">
      <c r="B128" s="49"/>
      <c r="C128" s="10">
        <v>4</v>
      </c>
      <c r="D128" s="4">
        <v>45938</v>
      </c>
      <c r="E128" s="12" t="s">
        <v>7</v>
      </c>
      <c r="F128" s="12">
        <v>30</v>
      </c>
      <c r="G128" s="17"/>
    </row>
    <row r="129" spans="2:7" ht="22.5" customHeight="1">
      <c r="B129" s="48">
        <f>SUM(F129:F140)</f>
        <v>372</v>
      </c>
      <c r="C129" s="10">
        <v>1</v>
      </c>
      <c r="D129" s="4">
        <v>45939</v>
      </c>
      <c r="E129" s="12" t="s">
        <v>6</v>
      </c>
      <c r="F129" s="12">
        <v>100</v>
      </c>
      <c r="G129" s="17"/>
    </row>
    <row r="130" spans="2:7" ht="22.5" customHeight="1">
      <c r="B130" s="49"/>
      <c r="C130" s="10">
        <v>2</v>
      </c>
      <c r="D130" s="4">
        <v>45939</v>
      </c>
      <c r="E130" s="12" t="s">
        <v>51</v>
      </c>
      <c r="F130" s="12">
        <v>15</v>
      </c>
      <c r="G130" s="17"/>
    </row>
    <row r="131" spans="2:7" ht="22.5" customHeight="1">
      <c r="B131" s="49"/>
      <c r="C131" s="10">
        <v>3</v>
      </c>
      <c r="D131" s="4">
        <v>45939</v>
      </c>
      <c r="E131" s="12" t="s">
        <v>6</v>
      </c>
      <c r="F131" s="12">
        <v>50</v>
      </c>
      <c r="G131" s="17"/>
    </row>
    <row r="132" spans="2:7" ht="22.5" customHeight="1">
      <c r="B132" s="49"/>
      <c r="C132" s="10">
        <v>4</v>
      </c>
      <c r="D132" s="4">
        <v>45939</v>
      </c>
      <c r="E132" s="12" t="s">
        <v>6</v>
      </c>
      <c r="F132" s="12">
        <v>100</v>
      </c>
      <c r="G132" s="17"/>
    </row>
    <row r="133" spans="2:7" ht="22.5" customHeight="1">
      <c r="B133" s="49"/>
      <c r="C133" s="10">
        <v>5</v>
      </c>
      <c r="D133" s="4">
        <v>45939</v>
      </c>
      <c r="E133" s="12" t="s">
        <v>19</v>
      </c>
      <c r="F133" s="12">
        <v>35</v>
      </c>
      <c r="G133" s="17"/>
    </row>
    <row r="134" spans="2:7" ht="22.5" customHeight="1">
      <c r="B134" s="49"/>
      <c r="C134" s="10">
        <v>6</v>
      </c>
      <c r="D134" s="4">
        <v>45939</v>
      </c>
      <c r="E134" s="12" t="s">
        <v>18</v>
      </c>
      <c r="F134" s="12">
        <v>10</v>
      </c>
      <c r="G134" s="17"/>
    </row>
    <row r="135" spans="2:7" ht="22.5" customHeight="1">
      <c r="B135" s="49"/>
      <c r="C135" s="10">
        <v>7</v>
      </c>
      <c r="D135" s="4">
        <v>45939</v>
      </c>
      <c r="E135" s="12" t="s">
        <v>5</v>
      </c>
      <c r="F135" s="12">
        <v>10</v>
      </c>
      <c r="G135" s="17"/>
    </row>
    <row r="136" spans="2:7" ht="22.5" customHeight="1">
      <c r="B136" s="49"/>
      <c r="C136" s="10">
        <v>8</v>
      </c>
      <c r="D136" s="4">
        <v>45939</v>
      </c>
      <c r="E136" s="12" t="s">
        <v>52</v>
      </c>
      <c r="F136" s="12">
        <v>7</v>
      </c>
      <c r="G136" s="17"/>
    </row>
    <row r="137" spans="2:7" ht="22.5" customHeight="1">
      <c r="B137" s="49"/>
      <c r="C137" s="10">
        <v>9</v>
      </c>
      <c r="D137" s="4">
        <v>45939</v>
      </c>
      <c r="E137" s="12" t="s">
        <v>7</v>
      </c>
      <c r="F137" s="12">
        <v>30</v>
      </c>
      <c r="G137" s="17"/>
    </row>
    <row r="138" spans="2:7" ht="22.5" customHeight="1">
      <c r="B138" s="49"/>
      <c r="C138" s="10">
        <v>10</v>
      </c>
      <c r="D138" s="4">
        <v>45939</v>
      </c>
      <c r="E138" s="12" t="s">
        <v>31</v>
      </c>
      <c r="F138" s="12">
        <v>3</v>
      </c>
      <c r="G138" s="17"/>
    </row>
    <row r="139" spans="2:7" ht="22.5" customHeight="1">
      <c r="B139" s="49"/>
      <c r="C139" s="10">
        <v>11</v>
      </c>
      <c r="D139" s="4">
        <v>45939</v>
      </c>
      <c r="E139" s="12" t="s">
        <v>53</v>
      </c>
      <c r="F139" s="12">
        <v>5</v>
      </c>
      <c r="G139" s="17"/>
    </row>
    <row r="140" spans="2:7" ht="22.5" customHeight="1" thickBot="1">
      <c r="B140" s="50"/>
      <c r="C140" s="10">
        <v>12</v>
      </c>
      <c r="D140" s="4">
        <v>45939</v>
      </c>
      <c r="E140" s="12" t="s">
        <v>52</v>
      </c>
      <c r="F140" s="12">
        <v>7</v>
      </c>
      <c r="G140" s="17"/>
    </row>
    <row r="141" spans="2:7" ht="22.5" customHeight="1">
      <c r="B141" s="48">
        <f>SUM(F141:F151)</f>
        <v>307</v>
      </c>
      <c r="C141" s="10">
        <v>1</v>
      </c>
      <c r="D141" s="4">
        <v>45940</v>
      </c>
      <c r="E141" s="12" t="s">
        <v>6</v>
      </c>
      <c r="F141" s="12">
        <v>80</v>
      </c>
      <c r="G141" s="17"/>
    </row>
    <row r="142" spans="2:7" ht="22.5" customHeight="1">
      <c r="B142" s="49"/>
      <c r="C142" s="10">
        <v>2</v>
      </c>
      <c r="D142" s="4">
        <v>45940</v>
      </c>
      <c r="E142" s="12" t="s">
        <v>38</v>
      </c>
      <c r="F142" s="12">
        <v>10</v>
      </c>
      <c r="G142" s="17"/>
    </row>
    <row r="143" spans="2:7" ht="22.5" customHeight="1">
      <c r="B143" s="49"/>
      <c r="C143" s="10">
        <v>3</v>
      </c>
      <c r="D143" s="4">
        <v>45940</v>
      </c>
      <c r="E143" s="12" t="s">
        <v>51</v>
      </c>
      <c r="F143" s="12">
        <v>15</v>
      </c>
      <c r="G143" s="17"/>
    </row>
    <row r="144" spans="2:7" ht="22.5" customHeight="1">
      <c r="B144" s="49"/>
      <c r="C144" s="10">
        <v>4</v>
      </c>
      <c r="D144" s="4">
        <v>45940</v>
      </c>
      <c r="E144" s="12" t="s">
        <v>6</v>
      </c>
      <c r="F144" s="12">
        <v>50</v>
      </c>
      <c r="G144" s="17"/>
    </row>
    <row r="145" spans="2:7" ht="22.5" customHeight="1">
      <c r="B145" s="49"/>
      <c r="C145" s="10">
        <v>5</v>
      </c>
      <c r="D145" s="4">
        <v>45940</v>
      </c>
      <c r="E145" s="12" t="s">
        <v>7</v>
      </c>
      <c r="F145" s="12">
        <v>30</v>
      </c>
      <c r="G145" s="17"/>
    </row>
    <row r="146" spans="2:7" ht="22.5" customHeight="1">
      <c r="B146" s="49"/>
      <c r="C146" s="10">
        <v>6</v>
      </c>
      <c r="D146" s="4">
        <v>45940</v>
      </c>
      <c r="E146" s="12" t="s">
        <v>19</v>
      </c>
      <c r="F146" s="12">
        <v>35</v>
      </c>
      <c r="G146" s="17"/>
    </row>
    <row r="147" spans="2:7" ht="22.5" customHeight="1">
      <c r="B147" s="49"/>
      <c r="C147" s="10">
        <v>7</v>
      </c>
      <c r="D147" s="4">
        <v>45940</v>
      </c>
      <c r="E147" s="12" t="s">
        <v>5</v>
      </c>
      <c r="F147" s="12">
        <v>10</v>
      </c>
      <c r="G147" s="17"/>
    </row>
    <row r="148" spans="2:7" ht="22.5" customHeight="1">
      <c r="B148" s="49"/>
      <c r="C148" s="10">
        <v>8</v>
      </c>
      <c r="D148" s="4">
        <v>45940</v>
      </c>
      <c r="E148" s="12" t="s">
        <v>18</v>
      </c>
      <c r="F148" s="12">
        <v>10</v>
      </c>
      <c r="G148" s="17"/>
    </row>
    <row r="149" spans="2:7" ht="22.5" customHeight="1">
      <c r="B149" s="49"/>
      <c r="C149" s="10">
        <v>9</v>
      </c>
      <c r="D149" s="4">
        <v>45940</v>
      </c>
      <c r="E149" s="12" t="s">
        <v>7</v>
      </c>
      <c r="F149" s="12">
        <v>30</v>
      </c>
      <c r="G149" s="17"/>
    </row>
    <row r="150" spans="2:7" ht="22.5" customHeight="1">
      <c r="B150" s="49"/>
      <c r="C150" s="10">
        <v>10</v>
      </c>
      <c r="D150" s="4">
        <v>45940</v>
      </c>
      <c r="E150" s="12" t="s">
        <v>52</v>
      </c>
      <c r="F150" s="12">
        <v>7</v>
      </c>
      <c r="G150" s="17"/>
    </row>
    <row r="151" spans="2:7" ht="22.5" customHeight="1" thickBot="1">
      <c r="B151" s="50"/>
      <c r="C151" s="10">
        <v>11</v>
      </c>
      <c r="D151" s="4">
        <v>45940</v>
      </c>
      <c r="E151" s="12" t="s">
        <v>48</v>
      </c>
      <c r="F151" s="12">
        <v>30</v>
      </c>
      <c r="G151" s="17"/>
    </row>
    <row r="152" spans="2:7" ht="22.5" customHeight="1">
      <c r="B152" s="48">
        <f>SUM(F152:F159)</f>
        <v>361</v>
      </c>
      <c r="C152" s="10">
        <v>1</v>
      </c>
      <c r="D152" s="4">
        <v>45941</v>
      </c>
      <c r="E152" s="12" t="s">
        <v>6</v>
      </c>
      <c r="F152" s="12">
        <v>100</v>
      </c>
      <c r="G152" s="17"/>
    </row>
    <row r="153" spans="2:7" ht="22.5" customHeight="1">
      <c r="B153" s="49"/>
      <c r="C153" s="10">
        <v>2</v>
      </c>
      <c r="D153" s="4">
        <v>45941</v>
      </c>
      <c r="E153" s="12" t="s">
        <v>5</v>
      </c>
      <c r="F153" s="12">
        <v>70</v>
      </c>
      <c r="G153" s="17"/>
    </row>
    <row r="154" spans="2:7" ht="22.5" customHeight="1">
      <c r="B154" s="49"/>
      <c r="C154" s="10">
        <v>3</v>
      </c>
      <c r="D154" s="4">
        <v>45941</v>
      </c>
      <c r="E154" s="12" t="s">
        <v>6</v>
      </c>
      <c r="F154" s="12">
        <v>100</v>
      </c>
      <c r="G154" s="17"/>
    </row>
    <row r="155" spans="2:7" ht="22.5" customHeight="1">
      <c r="B155" s="49"/>
      <c r="C155" s="10">
        <v>4</v>
      </c>
      <c r="D155" s="4">
        <v>45941</v>
      </c>
      <c r="E155" s="12" t="s">
        <v>19</v>
      </c>
      <c r="F155" s="12">
        <v>35</v>
      </c>
      <c r="G155" s="17"/>
    </row>
    <row r="156" spans="2:7" ht="22.5" customHeight="1">
      <c r="B156" s="49"/>
      <c r="C156" s="10">
        <v>5</v>
      </c>
      <c r="D156" s="4">
        <v>45941</v>
      </c>
      <c r="E156" s="12" t="s">
        <v>18</v>
      </c>
      <c r="F156" s="12">
        <v>10</v>
      </c>
      <c r="G156" s="17"/>
    </row>
    <row r="157" spans="2:7" ht="22.5" customHeight="1">
      <c r="B157" s="49"/>
      <c r="C157" s="10">
        <v>6</v>
      </c>
      <c r="D157" s="4">
        <v>45941</v>
      </c>
      <c r="E157" s="12" t="s">
        <v>7</v>
      </c>
      <c r="F157" s="12">
        <v>30</v>
      </c>
      <c r="G157" s="17"/>
    </row>
    <row r="158" spans="2:7" ht="22.5" customHeight="1">
      <c r="B158" s="49"/>
      <c r="C158" s="10">
        <v>7</v>
      </c>
      <c r="D158" s="4">
        <v>45941</v>
      </c>
      <c r="E158" s="12" t="s">
        <v>31</v>
      </c>
      <c r="F158" s="12">
        <v>6</v>
      </c>
      <c r="G158" s="17"/>
    </row>
    <row r="159" spans="2:7" ht="22.5" customHeight="1" thickBot="1">
      <c r="B159" s="49"/>
      <c r="C159" s="10">
        <v>8</v>
      </c>
      <c r="D159" s="4">
        <v>45941</v>
      </c>
      <c r="E159" s="12" t="s">
        <v>6</v>
      </c>
      <c r="F159" s="12">
        <v>10</v>
      </c>
      <c r="G159" s="17"/>
    </row>
    <row r="160" spans="2:7" ht="22.5" customHeight="1">
      <c r="B160" s="48">
        <f>SUM(F160:F165)</f>
        <v>254</v>
      </c>
      <c r="C160" s="10">
        <v>1</v>
      </c>
      <c r="D160" s="4">
        <v>45942</v>
      </c>
      <c r="E160" s="12" t="s">
        <v>6</v>
      </c>
      <c r="F160" s="12">
        <v>80</v>
      </c>
      <c r="G160" s="17"/>
    </row>
    <row r="161" spans="2:7" ht="22.5" customHeight="1">
      <c r="B161" s="49"/>
      <c r="C161" s="10">
        <v>2</v>
      </c>
      <c r="D161" s="4">
        <v>45942</v>
      </c>
      <c r="E161" s="12" t="s">
        <v>4</v>
      </c>
      <c r="F161" s="12">
        <v>47</v>
      </c>
      <c r="G161" s="17"/>
    </row>
    <row r="162" spans="2:7" ht="22.5" customHeight="1">
      <c r="B162" s="49"/>
      <c r="C162" s="10">
        <v>3</v>
      </c>
      <c r="D162" s="4">
        <v>45942</v>
      </c>
      <c r="E162" s="12" t="s">
        <v>7</v>
      </c>
      <c r="F162" s="12">
        <v>30</v>
      </c>
      <c r="G162" s="17"/>
    </row>
    <row r="163" spans="2:7" ht="22.5" customHeight="1">
      <c r="B163" s="49"/>
      <c r="C163" s="10">
        <v>4</v>
      </c>
      <c r="D163" s="4">
        <v>45942</v>
      </c>
      <c r="E163" s="12" t="s">
        <v>6</v>
      </c>
      <c r="F163" s="12">
        <v>50</v>
      </c>
      <c r="G163" s="17"/>
    </row>
    <row r="164" spans="2:7" ht="22.5" customHeight="1">
      <c r="B164" s="49"/>
      <c r="C164" s="10">
        <v>5</v>
      </c>
      <c r="D164" s="4">
        <v>45942</v>
      </c>
      <c r="E164" s="12" t="s">
        <v>19</v>
      </c>
      <c r="F164" s="12">
        <v>17</v>
      </c>
      <c r="G164" s="17"/>
    </row>
    <row r="165" spans="2:7" ht="22.5" customHeight="1" thickBot="1">
      <c r="B165" s="49"/>
      <c r="C165" s="10">
        <v>6</v>
      </c>
      <c r="D165" s="4">
        <v>45942</v>
      </c>
      <c r="E165" s="12" t="s">
        <v>7</v>
      </c>
      <c r="F165" s="12">
        <v>30</v>
      </c>
      <c r="G165" s="17"/>
    </row>
    <row r="166" spans="2:7" ht="22.5" customHeight="1">
      <c r="B166" s="48">
        <f>SUM(F166:F173)</f>
        <v>301</v>
      </c>
      <c r="C166" s="10">
        <v>1</v>
      </c>
      <c r="D166" s="4">
        <v>45943</v>
      </c>
      <c r="E166" s="12" t="s">
        <v>6</v>
      </c>
      <c r="F166" s="12">
        <v>100</v>
      </c>
      <c r="G166" s="17"/>
    </row>
    <row r="167" spans="2:7" ht="22.5" customHeight="1">
      <c r="B167" s="49"/>
      <c r="C167" s="10">
        <v>2</v>
      </c>
      <c r="D167" s="4">
        <v>45943</v>
      </c>
      <c r="E167" s="12" t="s">
        <v>6</v>
      </c>
      <c r="F167" s="12">
        <v>100</v>
      </c>
      <c r="G167" s="17"/>
    </row>
    <row r="168" spans="2:7" ht="22.5" customHeight="1">
      <c r="B168" s="49"/>
      <c r="C168" s="10">
        <v>3</v>
      </c>
      <c r="D168" s="4">
        <v>45943</v>
      </c>
      <c r="E168" s="12" t="s">
        <v>19</v>
      </c>
      <c r="F168" s="12">
        <v>35</v>
      </c>
      <c r="G168" s="17"/>
    </row>
    <row r="169" spans="2:7" ht="22.5" customHeight="1">
      <c r="B169" s="49"/>
      <c r="C169" s="10">
        <v>4</v>
      </c>
      <c r="D169" s="4">
        <v>45943</v>
      </c>
      <c r="E169" s="12" t="s">
        <v>54</v>
      </c>
      <c r="F169" s="12">
        <v>25</v>
      </c>
      <c r="G169" s="17"/>
    </row>
    <row r="170" spans="2:7" ht="22.5" customHeight="1">
      <c r="B170" s="49"/>
      <c r="C170" s="10">
        <v>5</v>
      </c>
      <c r="D170" s="4">
        <v>45943</v>
      </c>
      <c r="E170" s="12" t="s">
        <v>31</v>
      </c>
      <c r="F170" s="12">
        <v>6</v>
      </c>
      <c r="G170" s="17"/>
    </row>
    <row r="171" spans="2:7" ht="22.5" customHeight="1">
      <c r="B171" s="49"/>
      <c r="C171" s="10">
        <v>6</v>
      </c>
      <c r="D171" s="4">
        <v>45943</v>
      </c>
      <c r="E171" s="12" t="s">
        <v>18</v>
      </c>
      <c r="F171" s="12">
        <v>10</v>
      </c>
      <c r="G171" s="17"/>
    </row>
    <row r="172" spans="2:7" ht="22.5" customHeight="1">
      <c r="B172" s="49"/>
      <c r="C172" s="10">
        <v>7</v>
      </c>
      <c r="D172" s="4">
        <v>45943</v>
      </c>
      <c r="E172" s="12" t="s">
        <v>31</v>
      </c>
      <c r="F172" s="12">
        <v>10</v>
      </c>
      <c r="G172" s="17"/>
    </row>
    <row r="173" spans="2:7" ht="22.5" customHeight="1" thickBot="1">
      <c r="B173" s="50"/>
      <c r="C173" s="10">
        <v>8</v>
      </c>
      <c r="D173" s="4">
        <v>45943</v>
      </c>
      <c r="E173" s="12" t="s">
        <v>31</v>
      </c>
      <c r="F173" s="12">
        <v>15</v>
      </c>
      <c r="G173" s="17"/>
    </row>
    <row r="174" spans="2:7" ht="22.5" customHeight="1">
      <c r="B174" s="48">
        <f>SUM(F174:F176)</f>
        <v>250</v>
      </c>
      <c r="C174" s="10">
        <v>1</v>
      </c>
      <c r="D174" s="4">
        <v>45944</v>
      </c>
      <c r="E174" s="12" t="s">
        <v>6</v>
      </c>
      <c r="F174" s="12">
        <v>150</v>
      </c>
      <c r="G174" s="17"/>
    </row>
    <row r="175" spans="2:7" ht="22.5" customHeight="1">
      <c r="B175" s="49"/>
      <c r="C175" s="10">
        <v>2</v>
      </c>
      <c r="D175" s="4">
        <v>45944</v>
      </c>
      <c r="E175" s="12" t="s">
        <v>5</v>
      </c>
      <c r="F175" s="12">
        <v>10</v>
      </c>
      <c r="G175" s="17"/>
    </row>
    <row r="176" spans="2:7" ht="22.5" customHeight="1" thickBot="1">
      <c r="B176" s="49"/>
      <c r="C176" s="10">
        <v>3</v>
      </c>
      <c r="D176" s="4">
        <v>45944</v>
      </c>
      <c r="E176" s="12" t="s">
        <v>48</v>
      </c>
      <c r="F176" s="12">
        <v>90</v>
      </c>
      <c r="G176" s="17"/>
    </row>
    <row r="177" spans="2:7" ht="22.5" customHeight="1">
      <c r="B177" s="48">
        <f>SUM(F177:F178)</f>
        <v>190</v>
      </c>
      <c r="C177" s="10">
        <v>1</v>
      </c>
      <c r="D177" s="4">
        <v>45945</v>
      </c>
      <c r="E177" s="12" t="s">
        <v>6</v>
      </c>
      <c r="F177" s="12">
        <v>100</v>
      </c>
      <c r="G177" s="17"/>
    </row>
    <row r="178" spans="2:7" ht="22.5" customHeight="1" thickBot="1">
      <c r="B178" s="49"/>
      <c r="C178" s="10">
        <v>2</v>
      </c>
      <c r="D178" s="4">
        <v>45945</v>
      </c>
      <c r="E178" s="12" t="s">
        <v>48</v>
      </c>
      <c r="F178" s="12">
        <v>90</v>
      </c>
      <c r="G178" s="17"/>
    </row>
    <row r="179" spans="2:7" ht="22.5" customHeight="1">
      <c r="B179" s="48">
        <f>SUM(F179:F184)</f>
        <v>285</v>
      </c>
      <c r="C179" s="10">
        <v>1</v>
      </c>
      <c r="D179" s="4">
        <v>45946</v>
      </c>
      <c r="E179" s="12" t="s">
        <v>4</v>
      </c>
      <c r="F179" s="12">
        <v>10</v>
      </c>
      <c r="G179" s="17"/>
    </row>
    <row r="180" spans="2:7" ht="22.5" customHeight="1">
      <c r="B180" s="49"/>
      <c r="C180" s="10">
        <v>2</v>
      </c>
      <c r="D180" s="4">
        <v>45946</v>
      </c>
      <c r="E180" s="12" t="s">
        <v>6</v>
      </c>
      <c r="F180" s="12">
        <v>15</v>
      </c>
      <c r="G180" s="17"/>
    </row>
    <row r="181" spans="2:7" ht="22.5" customHeight="1">
      <c r="B181" s="49"/>
      <c r="C181" s="10">
        <v>3</v>
      </c>
      <c r="D181" s="4">
        <v>45946</v>
      </c>
      <c r="E181" s="12" t="s">
        <v>19</v>
      </c>
      <c r="F181" s="12">
        <v>43</v>
      </c>
      <c r="G181" s="17"/>
    </row>
    <row r="182" spans="2:7" ht="22.5" customHeight="1">
      <c r="B182" s="49"/>
      <c r="C182" s="10">
        <v>4</v>
      </c>
      <c r="D182" s="4">
        <v>45946</v>
      </c>
      <c r="E182" s="12" t="s">
        <v>6</v>
      </c>
      <c r="F182" s="12">
        <v>120</v>
      </c>
      <c r="G182" s="17"/>
    </row>
    <row r="183" spans="2:7" ht="22.5" customHeight="1">
      <c r="B183" s="49"/>
      <c r="C183" s="10">
        <v>5</v>
      </c>
      <c r="D183" s="4">
        <v>45946</v>
      </c>
      <c r="E183" s="12" t="s">
        <v>5</v>
      </c>
      <c r="F183" s="12">
        <v>80</v>
      </c>
      <c r="G183" s="17"/>
    </row>
    <row r="184" spans="2:7" ht="22.5" customHeight="1" thickBot="1">
      <c r="B184" s="49"/>
      <c r="C184" s="10">
        <v>6</v>
      </c>
      <c r="D184" s="4">
        <v>45946</v>
      </c>
      <c r="E184" s="12" t="s">
        <v>24</v>
      </c>
      <c r="F184" s="12">
        <v>17</v>
      </c>
      <c r="G184" s="17"/>
    </row>
    <row r="185" spans="2:7" ht="22.5" customHeight="1">
      <c r="B185" s="48">
        <f>SUM(F185:F187)</f>
        <v>138</v>
      </c>
      <c r="C185" s="10">
        <v>1</v>
      </c>
      <c r="D185" s="4">
        <v>45947</v>
      </c>
      <c r="E185" s="12" t="s">
        <v>6</v>
      </c>
      <c r="F185" s="12">
        <v>100</v>
      </c>
      <c r="G185" s="17"/>
    </row>
    <row r="186" spans="2:7" ht="22.5" customHeight="1">
      <c r="B186" s="49"/>
      <c r="C186" s="10">
        <v>2</v>
      </c>
      <c r="D186" s="4">
        <v>45947</v>
      </c>
      <c r="E186" s="12" t="s">
        <v>18</v>
      </c>
      <c r="F186" s="12">
        <v>25</v>
      </c>
      <c r="G186" s="17"/>
    </row>
    <row r="187" spans="2:7" ht="22.5" customHeight="1" thickBot="1">
      <c r="B187" s="49"/>
      <c r="C187" s="10">
        <v>3</v>
      </c>
      <c r="D187" s="4">
        <v>45947</v>
      </c>
      <c r="E187" s="12" t="s">
        <v>31</v>
      </c>
      <c r="F187" s="12">
        <v>13</v>
      </c>
      <c r="G187" s="17"/>
    </row>
    <row r="188" spans="2:7" ht="22.5" customHeight="1" thickBot="1">
      <c r="B188" s="22">
        <f>SUM(F188:F188)</f>
        <v>100</v>
      </c>
      <c r="C188" s="10">
        <v>1</v>
      </c>
      <c r="D188" s="4">
        <v>45948</v>
      </c>
      <c r="E188" s="12" t="s">
        <v>6</v>
      </c>
      <c r="F188" s="12">
        <v>100</v>
      </c>
      <c r="G188" s="17"/>
    </row>
    <row r="189" spans="2:7" ht="22.5" customHeight="1">
      <c r="B189" s="48">
        <f>SUM(F189:F191)</f>
        <v>130</v>
      </c>
      <c r="C189" s="10">
        <v>1</v>
      </c>
      <c r="D189" s="4">
        <v>45949</v>
      </c>
      <c r="E189" s="12" t="s">
        <v>5</v>
      </c>
      <c r="F189" s="12">
        <v>10</v>
      </c>
      <c r="G189" s="17"/>
    </row>
    <row r="190" spans="2:7" ht="22.5" customHeight="1">
      <c r="B190" s="49"/>
      <c r="C190" s="10">
        <v>2</v>
      </c>
      <c r="D190" s="4">
        <v>45949</v>
      </c>
      <c r="E190" s="12" t="s">
        <v>6</v>
      </c>
      <c r="F190" s="12">
        <v>100</v>
      </c>
      <c r="G190" s="17"/>
    </row>
    <row r="191" spans="2:7" ht="22.5" customHeight="1" thickBot="1">
      <c r="B191" s="49"/>
      <c r="C191" s="10">
        <v>3</v>
      </c>
      <c r="D191" s="4">
        <v>45949</v>
      </c>
      <c r="E191" s="12" t="s">
        <v>55</v>
      </c>
      <c r="F191" s="12">
        <v>20</v>
      </c>
      <c r="G191" s="17"/>
    </row>
    <row r="192" spans="2:7" ht="22.5" customHeight="1">
      <c r="B192" s="48">
        <f>SUM(F192:F193)</f>
        <v>130</v>
      </c>
      <c r="C192" s="10">
        <v>1</v>
      </c>
      <c r="D192" s="4">
        <v>45950</v>
      </c>
      <c r="E192" s="12" t="s">
        <v>6</v>
      </c>
      <c r="F192" s="12">
        <v>100</v>
      </c>
      <c r="G192" s="17"/>
    </row>
    <row r="193" spans="2:7" ht="22.5" customHeight="1" thickBot="1">
      <c r="B193" s="49"/>
      <c r="C193" s="10">
        <v>2</v>
      </c>
      <c r="D193" s="4">
        <v>45950</v>
      </c>
      <c r="E193" s="12" t="s">
        <v>48</v>
      </c>
      <c r="F193" s="12">
        <v>30</v>
      </c>
      <c r="G193" s="17"/>
    </row>
    <row r="194" spans="2:7" ht="22.5" customHeight="1">
      <c r="B194" s="48">
        <f>SUM(F192:F193)</f>
        <v>130</v>
      </c>
      <c r="C194" s="5">
        <v>1</v>
      </c>
      <c r="D194" s="4">
        <v>45951</v>
      </c>
      <c r="E194" s="3" t="s">
        <v>6</v>
      </c>
      <c r="F194" s="3">
        <v>100</v>
      </c>
      <c r="G194" s="19"/>
    </row>
    <row r="195" spans="2:7" ht="22.5" customHeight="1" thickBot="1">
      <c r="B195" s="50"/>
      <c r="C195" s="5">
        <v>2</v>
      </c>
      <c r="D195" s="4">
        <v>45951</v>
      </c>
      <c r="E195" s="3" t="s">
        <v>6</v>
      </c>
      <c r="F195" s="3">
        <v>30</v>
      </c>
      <c r="G195" s="19"/>
    </row>
    <row r="196" spans="2:7" ht="22.5" customHeight="1" thickBot="1">
      <c r="B196" s="23">
        <f>SUM(Tableau13[[#This Row],[PRIX]])</f>
        <v>150</v>
      </c>
      <c r="C196" s="10">
        <v>1</v>
      </c>
      <c r="D196" s="4">
        <v>45952</v>
      </c>
      <c r="E196" s="12" t="s">
        <v>6</v>
      </c>
      <c r="F196" s="12">
        <v>150</v>
      </c>
      <c r="G196" s="17"/>
    </row>
    <row r="197" spans="2:7" ht="22.5" customHeight="1">
      <c r="B197" s="48">
        <f>SUM(F197:F198)</f>
        <v>160</v>
      </c>
      <c r="C197" s="10">
        <v>1</v>
      </c>
      <c r="D197" s="4">
        <v>45953</v>
      </c>
      <c r="E197" s="12" t="s">
        <v>6</v>
      </c>
      <c r="F197" s="12">
        <v>100</v>
      </c>
      <c r="G197" s="17"/>
    </row>
    <row r="198" spans="2:7" ht="22.5" customHeight="1" thickBot="1">
      <c r="B198" s="50"/>
      <c r="C198" s="10">
        <v>2</v>
      </c>
      <c r="D198" s="4">
        <v>45953</v>
      </c>
      <c r="E198" s="12" t="s">
        <v>7</v>
      </c>
      <c r="F198" s="12">
        <v>60</v>
      </c>
      <c r="G198" s="17"/>
    </row>
    <row r="199" spans="2:7" ht="22.5" customHeight="1">
      <c r="B199" s="48">
        <f>SUM(F199:F202)</f>
        <v>225</v>
      </c>
      <c r="C199" s="10">
        <v>1</v>
      </c>
      <c r="D199" s="4">
        <v>45954</v>
      </c>
      <c r="E199" s="12" t="s">
        <v>48</v>
      </c>
      <c r="F199" s="12">
        <v>30</v>
      </c>
      <c r="G199" s="17"/>
    </row>
    <row r="200" spans="2:7" ht="22.5" customHeight="1">
      <c r="B200" s="49"/>
      <c r="C200" s="10">
        <v>2</v>
      </c>
      <c r="D200" s="4">
        <v>45954</v>
      </c>
      <c r="E200" s="12" t="s">
        <v>6</v>
      </c>
      <c r="F200" s="12">
        <v>100</v>
      </c>
      <c r="G200" s="17"/>
    </row>
    <row r="201" spans="2:7" ht="22.5" customHeight="1">
      <c r="B201" s="49"/>
      <c r="C201" s="10">
        <v>3</v>
      </c>
      <c r="D201" s="4">
        <v>45954</v>
      </c>
      <c r="E201" s="12" t="s">
        <v>5</v>
      </c>
      <c r="F201" s="12">
        <v>80</v>
      </c>
      <c r="G201" s="17"/>
    </row>
    <row r="202" spans="2:7" ht="22.5" customHeight="1">
      <c r="B202" s="49"/>
      <c r="C202" s="10">
        <v>4</v>
      </c>
      <c r="D202" s="4">
        <v>45954</v>
      </c>
      <c r="E202" s="12" t="s">
        <v>4</v>
      </c>
      <c r="F202" s="12">
        <v>15</v>
      </c>
      <c r="G202" s="17"/>
    </row>
    <row r="203" spans="2:7" ht="22.5" customHeight="1">
      <c r="B203" s="58">
        <f>SUM(F203:F204)</f>
        <v>120</v>
      </c>
      <c r="C203" s="5">
        <v>1</v>
      </c>
      <c r="D203" s="4">
        <v>45955</v>
      </c>
      <c r="E203" s="3" t="s">
        <v>6</v>
      </c>
      <c r="F203" s="3">
        <v>100</v>
      </c>
      <c r="G203" s="19"/>
    </row>
    <row r="204" spans="2:7" ht="22.5" customHeight="1">
      <c r="B204" s="59"/>
      <c r="C204" s="10">
        <v>2</v>
      </c>
      <c r="D204" s="4">
        <v>45955</v>
      </c>
      <c r="E204" s="12" t="s">
        <v>49</v>
      </c>
      <c r="F204" s="12">
        <v>20</v>
      </c>
      <c r="G204" s="17"/>
    </row>
    <row r="205" spans="2:7" ht="22.5" customHeight="1">
      <c r="C205" s="10"/>
      <c r="D205" s="4">
        <v>45955</v>
      </c>
      <c r="E205" s="12" t="s">
        <v>56</v>
      </c>
      <c r="F205" s="12">
        <v>-8790</v>
      </c>
      <c r="G205" s="17"/>
    </row>
  </sheetData>
  <mergeCells count="31">
    <mergeCell ref="B54:B67"/>
    <mergeCell ref="B68:B75"/>
    <mergeCell ref="B76:B85"/>
    <mergeCell ref="B86:B95"/>
    <mergeCell ref="B96:B102"/>
    <mergeCell ref="D1:F2"/>
    <mergeCell ref="B19:B26"/>
    <mergeCell ref="B27:B38"/>
    <mergeCell ref="B39:B45"/>
    <mergeCell ref="B46:B53"/>
    <mergeCell ref="B152:B159"/>
    <mergeCell ref="B194:B195"/>
    <mergeCell ref="B197:B198"/>
    <mergeCell ref="B199:B202"/>
    <mergeCell ref="B103:B111"/>
    <mergeCell ref="B203:B204"/>
    <mergeCell ref="G1:G2"/>
    <mergeCell ref="B189:B191"/>
    <mergeCell ref="B192:B193"/>
    <mergeCell ref="B4:B18"/>
    <mergeCell ref="B160:B165"/>
    <mergeCell ref="B166:B173"/>
    <mergeCell ref="B174:B176"/>
    <mergeCell ref="B177:B178"/>
    <mergeCell ref="B179:B184"/>
    <mergeCell ref="B185:B187"/>
    <mergeCell ref="B112:B118"/>
    <mergeCell ref="B119:B124"/>
    <mergeCell ref="B125:B128"/>
    <mergeCell ref="B129:B140"/>
    <mergeCell ref="B141:B151"/>
  </mergeCells>
  <conditionalFormatting sqref="F67:F92 F1:F18 F20:F61 F95:F100 F102:F1048576">
    <cfRule type="cellIs" dxfId="96" priority="19" operator="between">
      <formula>100</formula>
      <formula>1000</formula>
    </cfRule>
    <cfRule type="timePeriod" dxfId="95" priority="20" timePeriod="today">
      <formula>FLOOR(F1,1)=TODAY()</formula>
    </cfRule>
    <cfRule type="cellIs" dxfId="94" priority="21" operator="between">
      <formula>100</formula>
      <formula>500</formula>
    </cfRule>
    <cfRule type="colorScale" priority="22">
      <colorScale>
        <cfvo type="min" val="0"/>
        <cfvo type="max" val="0"/>
        <color rgb="FF63BE7B"/>
        <color rgb="FFFFEF9C"/>
      </colorScale>
    </cfRule>
    <cfRule type="top10" dxfId="93" priority="23" percent="1" rank="10"/>
    <cfRule type="dataBar" priority="24">
      <dataBar>
        <cfvo type="min" val="0"/>
        <cfvo type="max" val="0"/>
        <color rgb="FFD6007B"/>
      </dataBar>
    </cfRule>
  </conditionalFormatting>
  <conditionalFormatting sqref="F62:F66">
    <cfRule type="cellIs" dxfId="92" priority="13" operator="between">
      <formula>100</formula>
      <formula>1000</formula>
    </cfRule>
    <cfRule type="timePeriod" dxfId="91" priority="14" timePeriod="today">
      <formula>FLOOR(F62,1)=TODAY()</formula>
    </cfRule>
    <cfRule type="cellIs" dxfId="90" priority="15" operator="between">
      <formula>100</formula>
      <formula>500</formula>
    </cfRule>
    <cfRule type="colorScale" priority="16">
      <colorScale>
        <cfvo type="min" val="0"/>
        <cfvo type="max" val="0"/>
        <color rgb="FF63BE7B"/>
        <color rgb="FFFFEF9C"/>
      </colorScale>
    </cfRule>
    <cfRule type="top10" dxfId="89" priority="17" percent="1" rank="10"/>
    <cfRule type="dataBar" priority="18">
      <dataBar>
        <cfvo type="min" val="0"/>
        <cfvo type="max" val="0"/>
        <color rgb="FFD6007B"/>
      </dataBar>
    </cfRule>
  </conditionalFormatting>
  <conditionalFormatting sqref="F93:F94">
    <cfRule type="cellIs" dxfId="88" priority="7" operator="between">
      <formula>100</formula>
      <formula>1000</formula>
    </cfRule>
    <cfRule type="timePeriod" dxfId="87" priority="8" timePeriod="today">
      <formula>FLOOR(F93,1)=TODAY()</formula>
    </cfRule>
    <cfRule type="cellIs" dxfId="86" priority="9" operator="between">
      <formula>100</formula>
      <formula>500</formula>
    </cfRule>
    <cfRule type="colorScale" priority="10">
      <colorScale>
        <cfvo type="min" val="0"/>
        <cfvo type="max" val="0"/>
        <color rgb="FF63BE7B"/>
        <color rgb="FFFFEF9C"/>
      </colorScale>
    </cfRule>
    <cfRule type="top10" dxfId="85" priority="11" percent="1" rank="10"/>
    <cfRule type="dataBar" priority="12">
      <dataBar>
        <cfvo type="min" val="0"/>
        <cfvo type="max" val="0"/>
        <color rgb="FFD6007B"/>
      </dataBar>
    </cfRule>
  </conditionalFormatting>
  <conditionalFormatting sqref="F101">
    <cfRule type="cellIs" dxfId="84" priority="1" operator="between">
      <formula>100</formula>
      <formula>1000</formula>
    </cfRule>
    <cfRule type="timePeriod" dxfId="83" priority="2" timePeriod="today">
      <formula>FLOOR(F101,1)=TODAY()</formula>
    </cfRule>
    <cfRule type="cellIs" dxfId="82" priority="3" operator="between">
      <formula>100</formula>
      <formula>500</formula>
    </cfRule>
    <cfRule type="colorScale" priority="4">
      <colorScale>
        <cfvo type="min" val="0"/>
        <cfvo type="max" val="0"/>
        <color rgb="FF63BE7B"/>
        <color rgb="FFFFEF9C"/>
      </colorScale>
    </cfRule>
    <cfRule type="top10" dxfId="81" priority="5" percent="1" rank="10"/>
    <cfRule type="dataBar" priority="6">
      <dataBar>
        <cfvo type="min" val="0"/>
        <cfvo type="max" val="0"/>
        <color rgb="FFD6007B"/>
      </dataBar>
    </cfRule>
  </conditionalFormatting>
  <pageMargins left="0.7" right="0.7" top="0.75" bottom="0.75" header="0.3" footer="0.3"/>
  <pageSetup paperSize="9" fitToWidth="0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1:H94"/>
  <sheetViews>
    <sheetView topLeftCell="A66" workbookViewId="0">
      <selection activeCell="C90" sqref="C90"/>
    </sheetView>
  </sheetViews>
  <sheetFormatPr baseColWidth="10" defaultColWidth="20.5703125" defaultRowHeight="22.5" customHeight="1"/>
  <cols>
    <col min="1" max="2" width="20.5703125" style="2"/>
    <col min="3" max="3" width="20.5703125" style="16"/>
    <col min="4" max="4" width="23.5703125" style="2" customWidth="1"/>
    <col min="5" max="16384" width="20.5703125" style="2"/>
  </cols>
  <sheetData>
    <row r="1" spans="2:8" ht="22.5" customHeight="1">
      <c r="C1" s="52" t="s">
        <v>21</v>
      </c>
      <c r="D1" s="53"/>
      <c r="E1" s="54"/>
      <c r="F1" s="51">
        <v>11</v>
      </c>
    </row>
    <row r="2" spans="2:8" ht="22.5" customHeight="1" thickBot="1">
      <c r="C2" s="55"/>
      <c r="D2" s="56"/>
      <c r="E2" s="57"/>
      <c r="F2" s="51"/>
    </row>
    <row r="3" spans="2:8" ht="22.5" customHeight="1" thickBot="1">
      <c r="C3" s="15" t="s">
        <v>0</v>
      </c>
      <c r="D3" s="8" t="s">
        <v>1</v>
      </c>
      <c r="E3" s="8" t="s">
        <v>2</v>
      </c>
      <c r="F3" s="9" t="s">
        <v>3</v>
      </c>
    </row>
    <row r="4" spans="2:8" ht="22.5" customHeight="1" thickBot="1">
      <c r="B4" s="23">
        <f>SUM(E4)</f>
        <v>150</v>
      </c>
      <c r="C4" s="4">
        <v>45955</v>
      </c>
      <c r="D4" s="3" t="s">
        <v>57</v>
      </c>
      <c r="E4" s="3">
        <v>150</v>
      </c>
      <c r="F4" s="18">
        <f>SUM(E4:E94)</f>
        <v>0</v>
      </c>
      <c r="G4" s="2">
        <v>1</v>
      </c>
      <c r="H4" s="2">
        <v>25</v>
      </c>
    </row>
    <row r="5" spans="2:8" ht="22.5" customHeight="1" thickBot="1">
      <c r="B5" s="23">
        <f>SUM(Tableau134[[#This Row],[PRIX]])</f>
        <v>50</v>
      </c>
      <c r="C5" s="4">
        <v>45956</v>
      </c>
      <c r="D5" s="3" t="s">
        <v>58</v>
      </c>
      <c r="E5" s="3">
        <v>50</v>
      </c>
      <c r="F5" s="6"/>
      <c r="G5" s="2">
        <v>2</v>
      </c>
      <c r="H5" s="2">
        <v>26</v>
      </c>
    </row>
    <row r="6" spans="2:8" ht="22.5" customHeight="1">
      <c r="B6" s="48">
        <f>SUM(E6:E12)</f>
        <v>270</v>
      </c>
      <c r="C6" s="4">
        <v>45957</v>
      </c>
      <c r="D6" s="3" t="s">
        <v>59</v>
      </c>
      <c r="E6" s="3">
        <v>30</v>
      </c>
      <c r="F6" s="6"/>
      <c r="G6" s="2">
        <v>3</v>
      </c>
      <c r="H6" s="2">
        <v>27</v>
      </c>
    </row>
    <row r="7" spans="2:8" ht="22.5" customHeight="1">
      <c r="B7" s="49"/>
      <c r="C7" s="4">
        <v>45957</v>
      </c>
      <c r="D7" s="3" t="s">
        <v>60</v>
      </c>
      <c r="E7" s="3">
        <v>20</v>
      </c>
      <c r="F7" s="6"/>
      <c r="G7" s="2">
        <v>4</v>
      </c>
      <c r="H7" s="2">
        <v>28</v>
      </c>
    </row>
    <row r="8" spans="2:8" ht="22.5" customHeight="1">
      <c r="B8" s="49"/>
      <c r="C8" s="4">
        <v>45957</v>
      </c>
      <c r="D8" s="3" t="s">
        <v>61</v>
      </c>
      <c r="E8" s="3">
        <v>20</v>
      </c>
      <c r="F8" s="6"/>
      <c r="G8" s="2">
        <v>5</v>
      </c>
      <c r="H8" s="2">
        <v>29</v>
      </c>
    </row>
    <row r="9" spans="2:8" ht="22.5" customHeight="1">
      <c r="B9" s="49"/>
      <c r="C9" s="4">
        <v>45957</v>
      </c>
      <c r="D9" s="3" t="s">
        <v>15</v>
      </c>
      <c r="E9" s="3">
        <v>20</v>
      </c>
      <c r="F9" s="6"/>
      <c r="G9" s="2">
        <v>6</v>
      </c>
      <c r="H9" s="2">
        <v>30</v>
      </c>
    </row>
    <row r="10" spans="2:8" ht="22.5" customHeight="1">
      <c r="B10" s="49"/>
      <c r="C10" s="4">
        <v>45957</v>
      </c>
      <c r="D10" s="3" t="s">
        <v>58</v>
      </c>
      <c r="E10" s="3">
        <v>20</v>
      </c>
      <c r="F10" s="6"/>
      <c r="G10" s="2">
        <v>7</v>
      </c>
      <c r="H10" s="2">
        <v>31</v>
      </c>
    </row>
    <row r="11" spans="2:8" ht="22.5" customHeight="1">
      <c r="B11" s="49"/>
      <c r="C11" s="4">
        <v>45957</v>
      </c>
      <c r="D11" s="3" t="s">
        <v>58</v>
      </c>
      <c r="E11" s="3">
        <v>150</v>
      </c>
      <c r="F11" s="6"/>
      <c r="G11" s="2">
        <v>8</v>
      </c>
      <c r="H11" s="2">
        <v>1</v>
      </c>
    </row>
    <row r="12" spans="2:8" ht="22.5" customHeight="1" thickBot="1">
      <c r="B12" s="50"/>
      <c r="C12" s="4">
        <v>45957</v>
      </c>
      <c r="D12" s="3" t="s">
        <v>62</v>
      </c>
      <c r="E12" s="3">
        <v>10</v>
      </c>
      <c r="F12" s="6"/>
      <c r="G12" s="2">
        <v>9</v>
      </c>
      <c r="H12" s="2">
        <v>2</v>
      </c>
    </row>
    <row r="13" spans="2:8" ht="22.5" customHeight="1" thickBot="1">
      <c r="B13" s="23">
        <f>SUM(Tableau134[[#This Row],[PRIX]])</f>
        <v>150</v>
      </c>
      <c r="C13" s="4">
        <v>45958</v>
      </c>
      <c r="D13" s="3" t="s">
        <v>58</v>
      </c>
      <c r="E13" s="3">
        <v>150</v>
      </c>
      <c r="F13" s="6"/>
      <c r="G13" s="2">
        <v>10</v>
      </c>
      <c r="H13" s="2">
        <v>3</v>
      </c>
    </row>
    <row r="14" spans="2:8" ht="22.5" customHeight="1">
      <c r="B14" s="48">
        <f>SUM(E14:E15)</f>
        <v>280</v>
      </c>
      <c r="C14" s="4">
        <v>45959</v>
      </c>
      <c r="D14" s="3" t="s">
        <v>58</v>
      </c>
      <c r="E14" s="3">
        <v>100</v>
      </c>
      <c r="F14" s="6"/>
      <c r="G14" s="2">
        <v>11</v>
      </c>
      <c r="H14" s="2">
        <v>4</v>
      </c>
    </row>
    <row r="15" spans="2:8" ht="22.5" customHeight="1" thickBot="1">
      <c r="B15" s="50"/>
      <c r="C15" s="4">
        <v>45959</v>
      </c>
      <c r="D15" s="3" t="s">
        <v>57</v>
      </c>
      <c r="E15" s="3">
        <v>180</v>
      </c>
      <c r="F15" s="6"/>
      <c r="G15" s="2">
        <v>12</v>
      </c>
      <c r="H15" s="2">
        <v>5</v>
      </c>
    </row>
    <row r="16" spans="2:8" ht="22.5" customHeight="1">
      <c r="B16" s="48">
        <f>SUM(E16:E18)</f>
        <v>85</v>
      </c>
      <c r="C16" s="4">
        <v>45960</v>
      </c>
      <c r="D16" s="3" t="s">
        <v>58</v>
      </c>
      <c r="E16" s="3">
        <v>50</v>
      </c>
      <c r="F16" s="6"/>
      <c r="G16" s="2">
        <v>13</v>
      </c>
      <c r="H16" s="2">
        <v>6</v>
      </c>
    </row>
    <row r="17" spans="2:8" ht="22.5" customHeight="1">
      <c r="B17" s="49"/>
      <c r="C17" s="4">
        <v>45960</v>
      </c>
      <c r="D17" s="3" t="s">
        <v>57</v>
      </c>
      <c r="E17" s="3">
        <v>30</v>
      </c>
      <c r="F17" s="6"/>
      <c r="G17" s="2">
        <v>14</v>
      </c>
      <c r="H17" s="2">
        <v>7</v>
      </c>
    </row>
    <row r="18" spans="2:8" ht="22.5" customHeight="1" thickBot="1">
      <c r="B18" s="50"/>
      <c r="C18" s="4">
        <v>45960</v>
      </c>
      <c r="D18" s="3" t="s">
        <v>63</v>
      </c>
      <c r="E18" s="3">
        <v>5</v>
      </c>
      <c r="F18" s="6"/>
      <c r="G18" s="2">
        <v>15</v>
      </c>
      <c r="H18" s="2">
        <v>8</v>
      </c>
    </row>
    <row r="19" spans="2:8" ht="22.5" customHeight="1">
      <c r="B19" s="48">
        <f>SUM(E19:E21)</f>
        <v>240</v>
      </c>
      <c r="C19" s="4">
        <v>45961</v>
      </c>
      <c r="D19" s="3" t="s">
        <v>58</v>
      </c>
      <c r="E19" s="3">
        <v>100</v>
      </c>
      <c r="F19" s="6"/>
      <c r="G19" s="2">
        <v>16</v>
      </c>
      <c r="H19" s="2">
        <v>9</v>
      </c>
    </row>
    <row r="20" spans="2:8" ht="22.5" customHeight="1">
      <c r="B20" s="49"/>
      <c r="C20" s="4">
        <v>45961</v>
      </c>
      <c r="D20" s="3" t="s">
        <v>57</v>
      </c>
      <c r="E20" s="3">
        <v>120</v>
      </c>
      <c r="F20" s="6"/>
      <c r="G20" s="2">
        <v>17</v>
      </c>
      <c r="H20" s="2">
        <v>10</v>
      </c>
    </row>
    <row r="21" spans="2:8" ht="22.5" customHeight="1" thickBot="1">
      <c r="B21" s="49"/>
      <c r="C21" s="4">
        <v>45961</v>
      </c>
      <c r="D21" s="3" t="s">
        <v>60</v>
      </c>
      <c r="E21" s="3">
        <v>20</v>
      </c>
      <c r="F21" s="6"/>
      <c r="G21" s="2">
        <v>18</v>
      </c>
      <c r="H21" s="2">
        <v>11</v>
      </c>
    </row>
    <row r="22" spans="2:8" ht="22.5" customHeight="1" thickBot="1">
      <c r="B22" s="24">
        <f>SUM(E22:E22)</f>
        <v>10</v>
      </c>
      <c r="C22" s="4">
        <v>45962</v>
      </c>
      <c r="D22" s="3" t="s">
        <v>61</v>
      </c>
      <c r="E22" s="3">
        <v>10</v>
      </c>
      <c r="F22" s="6"/>
      <c r="G22" s="2">
        <v>19</v>
      </c>
      <c r="H22" s="2">
        <v>12</v>
      </c>
    </row>
    <row r="23" spans="2:8" ht="22.5" customHeight="1">
      <c r="B23" s="48">
        <f>SUM(E23:E24)</f>
        <v>150</v>
      </c>
      <c r="C23" s="4">
        <v>45963</v>
      </c>
      <c r="D23" s="3" t="s">
        <v>57</v>
      </c>
      <c r="E23" s="3">
        <v>120</v>
      </c>
      <c r="F23" s="6"/>
      <c r="G23" s="2">
        <v>20</v>
      </c>
      <c r="H23" s="2">
        <v>13</v>
      </c>
    </row>
    <row r="24" spans="2:8" ht="22.5" customHeight="1" thickBot="1">
      <c r="B24" s="50"/>
      <c r="C24" s="4">
        <v>45963</v>
      </c>
      <c r="D24" s="3" t="s">
        <v>57</v>
      </c>
      <c r="E24" s="3">
        <v>30</v>
      </c>
      <c r="F24" s="6"/>
      <c r="G24" s="2">
        <v>21</v>
      </c>
      <c r="H24" s="2">
        <v>14</v>
      </c>
    </row>
    <row r="25" spans="2:8" ht="22.5" customHeight="1">
      <c r="B25" s="49">
        <f>SUM(E25:E27)</f>
        <v>270</v>
      </c>
      <c r="C25" s="4">
        <v>45964</v>
      </c>
      <c r="D25" s="12" t="s">
        <v>58</v>
      </c>
      <c r="E25" s="12">
        <v>100</v>
      </c>
      <c r="F25" s="17"/>
      <c r="G25" s="2">
        <v>22</v>
      </c>
      <c r="H25" s="2">
        <v>15</v>
      </c>
    </row>
    <row r="26" spans="2:8" ht="22.5" customHeight="1">
      <c r="B26" s="49"/>
      <c r="C26" s="4">
        <v>45964</v>
      </c>
      <c r="D26" s="12" t="s">
        <v>57</v>
      </c>
      <c r="E26" s="12">
        <v>150</v>
      </c>
      <c r="F26" s="17"/>
      <c r="G26" s="2">
        <v>23</v>
      </c>
      <c r="H26" s="2">
        <v>16</v>
      </c>
    </row>
    <row r="27" spans="2:8" ht="22.5" customHeight="1" thickBot="1">
      <c r="B27" s="49"/>
      <c r="C27" s="4">
        <v>45964</v>
      </c>
      <c r="D27" s="12" t="s">
        <v>58</v>
      </c>
      <c r="E27" s="12">
        <v>20</v>
      </c>
      <c r="F27" s="17"/>
      <c r="G27" s="2">
        <v>24</v>
      </c>
      <c r="H27" s="2">
        <v>17</v>
      </c>
    </row>
    <row r="28" spans="2:8" ht="22.5" customHeight="1">
      <c r="B28" s="48">
        <f>SUM(E28:E29)</f>
        <v>110</v>
      </c>
      <c r="C28" s="4">
        <v>45965</v>
      </c>
      <c r="D28" s="12" t="s">
        <v>58</v>
      </c>
      <c r="E28" s="12">
        <v>100</v>
      </c>
      <c r="F28" s="17"/>
      <c r="G28" s="2">
        <v>25</v>
      </c>
      <c r="H28" s="2">
        <v>18</v>
      </c>
    </row>
    <row r="29" spans="2:8" ht="22.5" customHeight="1" thickBot="1">
      <c r="B29" s="49"/>
      <c r="C29" s="4">
        <v>45965</v>
      </c>
      <c r="D29" s="12" t="s">
        <v>64</v>
      </c>
      <c r="E29" s="12">
        <v>10</v>
      </c>
      <c r="F29" s="17"/>
      <c r="G29" s="2">
        <v>26</v>
      </c>
      <c r="H29" s="2">
        <v>19</v>
      </c>
    </row>
    <row r="30" spans="2:8" ht="22.5" customHeight="1">
      <c r="B30" s="48">
        <f>SUM(E30:E31)</f>
        <v>110</v>
      </c>
      <c r="C30" s="4">
        <v>45966</v>
      </c>
      <c r="D30" s="12" t="s">
        <v>58</v>
      </c>
      <c r="E30" s="12">
        <v>100</v>
      </c>
      <c r="F30" s="17"/>
      <c r="G30" s="2">
        <v>27</v>
      </c>
      <c r="H30" s="2">
        <v>20</v>
      </c>
    </row>
    <row r="31" spans="2:8" ht="22.5" customHeight="1" thickBot="1">
      <c r="B31" s="49"/>
      <c r="C31" s="4">
        <v>45966</v>
      </c>
      <c r="D31" s="12" t="s">
        <v>65</v>
      </c>
      <c r="E31" s="12">
        <v>10</v>
      </c>
      <c r="F31" s="17"/>
      <c r="G31" s="2">
        <v>28</v>
      </c>
      <c r="H31" s="2">
        <v>21</v>
      </c>
    </row>
    <row r="32" spans="2:8" ht="22.5" customHeight="1">
      <c r="B32" s="48">
        <f>SUM(E32:E33)</f>
        <v>115</v>
      </c>
      <c r="C32" s="4">
        <v>45967</v>
      </c>
      <c r="D32" s="12" t="s">
        <v>58</v>
      </c>
      <c r="E32" s="12">
        <v>100</v>
      </c>
      <c r="F32" s="17"/>
      <c r="G32" s="2">
        <v>29</v>
      </c>
      <c r="H32" s="2">
        <v>22</v>
      </c>
    </row>
    <row r="33" spans="2:8" ht="22.5" customHeight="1" thickBot="1">
      <c r="B33" s="50"/>
      <c r="C33" s="4">
        <v>45967</v>
      </c>
      <c r="D33" s="12" t="s">
        <v>61</v>
      </c>
      <c r="E33" s="12">
        <v>15</v>
      </c>
      <c r="F33" s="17"/>
      <c r="G33" s="2">
        <v>30</v>
      </c>
      <c r="H33" s="2">
        <v>23</v>
      </c>
    </row>
    <row r="34" spans="2:8" ht="22.5" customHeight="1">
      <c r="B34" s="48">
        <f>SUM(E34:E36)</f>
        <v>350</v>
      </c>
      <c r="C34" s="4">
        <v>45968</v>
      </c>
      <c r="D34" s="12" t="s">
        <v>58</v>
      </c>
      <c r="E34" s="12">
        <v>100</v>
      </c>
      <c r="F34" s="17"/>
      <c r="G34" s="2">
        <v>31</v>
      </c>
      <c r="H34" s="2">
        <v>24</v>
      </c>
    </row>
    <row r="35" spans="2:8" ht="22.5" customHeight="1">
      <c r="B35" s="49"/>
      <c r="C35" s="4">
        <v>45968</v>
      </c>
      <c r="D35" s="12" t="s">
        <v>57</v>
      </c>
      <c r="E35" s="12">
        <v>150</v>
      </c>
      <c r="F35" s="17"/>
    </row>
    <row r="36" spans="2:8" ht="22.5" customHeight="1" thickBot="1">
      <c r="B36" s="50"/>
      <c r="C36" s="4">
        <v>45968</v>
      </c>
      <c r="D36" s="12" t="s">
        <v>58</v>
      </c>
      <c r="E36" s="12">
        <v>100</v>
      </c>
      <c r="F36" s="17"/>
    </row>
    <row r="37" spans="2:8" ht="22.5" customHeight="1" thickBot="1">
      <c r="B37" s="25">
        <f>SUM(E37:E37)</f>
        <v>100</v>
      </c>
      <c r="C37" s="4">
        <v>45969</v>
      </c>
      <c r="D37" s="12" t="s">
        <v>58</v>
      </c>
      <c r="E37" s="12">
        <v>100</v>
      </c>
      <c r="F37" s="17"/>
    </row>
    <row r="38" spans="2:8" ht="22.5" customHeight="1">
      <c r="B38" s="48">
        <f>SUM(E38:E39)</f>
        <v>120</v>
      </c>
      <c r="C38" s="4">
        <v>45970</v>
      </c>
      <c r="D38" s="12" t="s">
        <v>58</v>
      </c>
      <c r="E38" s="12">
        <v>100</v>
      </c>
      <c r="F38" s="17"/>
    </row>
    <row r="39" spans="2:8" ht="22.5" customHeight="1" thickBot="1">
      <c r="B39" s="49"/>
      <c r="C39" s="4">
        <v>45970</v>
      </c>
      <c r="D39" s="12" t="s">
        <v>61</v>
      </c>
      <c r="E39" s="12">
        <v>20</v>
      </c>
      <c r="F39" s="17"/>
    </row>
    <row r="40" spans="2:8" ht="22.5" customHeight="1" thickBot="1">
      <c r="B40" s="26">
        <f>SUM(E40:E40)</f>
        <v>150</v>
      </c>
      <c r="C40" s="4">
        <v>45971</v>
      </c>
      <c r="D40" s="12" t="s">
        <v>58</v>
      </c>
      <c r="E40" s="12">
        <v>150</v>
      </c>
      <c r="F40" s="17"/>
    </row>
    <row r="41" spans="2:8" ht="22.5" customHeight="1">
      <c r="B41" s="48">
        <f>SUM(E41:E42)</f>
        <v>120</v>
      </c>
      <c r="C41" s="4">
        <v>45972</v>
      </c>
      <c r="D41" s="12" t="s">
        <v>58</v>
      </c>
      <c r="E41" s="12">
        <v>20</v>
      </c>
      <c r="F41" s="17"/>
    </row>
    <row r="42" spans="2:8" ht="22.5" customHeight="1" thickBot="1">
      <c r="B42" s="49"/>
      <c r="C42" s="4">
        <v>45972</v>
      </c>
      <c r="D42" s="12" t="s">
        <v>58</v>
      </c>
      <c r="E42" s="12">
        <v>100</v>
      </c>
      <c r="F42" s="17"/>
    </row>
    <row r="43" spans="2:8" ht="22.5" customHeight="1">
      <c r="B43" s="48">
        <f>SUM(E43:E44)</f>
        <v>120</v>
      </c>
      <c r="C43" s="4">
        <v>45973</v>
      </c>
      <c r="D43" s="12" t="s">
        <v>61</v>
      </c>
      <c r="E43" s="12">
        <v>20</v>
      </c>
      <c r="F43" s="17"/>
    </row>
    <row r="44" spans="2:8" ht="22.5" customHeight="1" thickBot="1">
      <c r="B44" s="49"/>
      <c r="C44" s="4">
        <v>45973</v>
      </c>
      <c r="D44" s="12" t="s">
        <v>58</v>
      </c>
      <c r="E44" s="12">
        <v>100</v>
      </c>
      <c r="F44" s="17"/>
    </row>
    <row r="45" spans="2:8" ht="22.5" customHeight="1">
      <c r="B45" s="48">
        <f>SUM(E45:E46)</f>
        <v>120</v>
      </c>
      <c r="C45" s="4">
        <v>45974</v>
      </c>
      <c r="D45" s="12" t="s">
        <v>58</v>
      </c>
      <c r="E45" s="12">
        <v>100</v>
      </c>
      <c r="F45" s="17"/>
    </row>
    <row r="46" spans="2:8" ht="22.5" customHeight="1" thickBot="1">
      <c r="B46" s="49"/>
      <c r="C46" s="4">
        <v>45974</v>
      </c>
      <c r="D46" s="12" t="s">
        <v>61</v>
      </c>
      <c r="E46" s="12">
        <v>20</v>
      </c>
      <c r="F46" s="17"/>
    </row>
    <row r="47" spans="2:8" ht="22.5" customHeight="1">
      <c r="B47" s="48">
        <f>SUM(E47:E48)</f>
        <v>120</v>
      </c>
      <c r="C47" s="4">
        <v>45975</v>
      </c>
      <c r="D47" s="12" t="s">
        <v>58</v>
      </c>
      <c r="E47" s="12">
        <v>100</v>
      </c>
      <c r="F47" s="17"/>
    </row>
    <row r="48" spans="2:8" ht="22.5" customHeight="1" thickBot="1">
      <c r="B48" s="49"/>
      <c r="C48" s="4">
        <v>45975</v>
      </c>
      <c r="D48" s="12" t="s">
        <v>58</v>
      </c>
      <c r="E48" s="12">
        <v>20</v>
      </c>
      <c r="F48" s="17"/>
    </row>
    <row r="49" spans="2:6" ht="22.5" customHeight="1">
      <c r="B49" s="48">
        <f>SUM(E49:E51)</f>
        <v>215</v>
      </c>
      <c r="C49" s="4">
        <v>45976</v>
      </c>
      <c r="D49" s="12" t="s">
        <v>58</v>
      </c>
      <c r="E49" s="12">
        <v>100</v>
      </c>
      <c r="F49" s="17"/>
    </row>
    <row r="50" spans="2:6" ht="22.5" customHeight="1">
      <c r="B50" s="49"/>
      <c r="C50" s="4">
        <v>45976</v>
      </c>
      <c r="D50" s="12" t="s">
        <v>58</v>
      </c>
      <c r="E50" s="12">
        <v>100</v>
      </c>
      <c r="F50" s="17"/>
    </row>
    <row r="51" spans="2:6" ht="22.5" customHeight="1" thickBot="1">
      <c r="B51" s="49"/>
      <c r="C51" s="4">
        <v>45976</v>
      </c>
      <c r="D51" s="12" t="s">
        <v>66</v>
      </c>
      <c r="E51" s="12">
        <v>15</v>
      </c>
      <c r="F51" s="17"/>
    </row>
    <row r="52" spans="2:6" ht="22.5" customHeight="1">
      <c r="B52" s="48">
        <f>SUM(E52:E54)</f>
        <v>300</v>
      </c>
      <c r="C52" s="4">
        <v>45977</v>
      </c>
      <c r="D52" s="12" t="s">
        <v>58</v>
      </c>
      <c r="E52" s="12">
        <v>50</v>
      </c>
      <c r="F52" s="17"/>
    </row>
    <row r="53" spans="2:6" ht="22.5" customHeight="1">
      <c r="B53" s="49"/>
      <c r="C53" s="4">
        <v>45977</v>
      </c>
      <c r="D53" s="12" t="s">
        <v>57</v>
      </c>
      <c r="E53" s="12">
        <v>150</v>
      </c>
      <c r="F53" s="17"/>
    </row>
    <row r="54" spans="2:6" ht="22.5" customHeight="1" thickBot="1">
      <c r="B54" s="49"/>
      <c r="C54" s="4">
        <v>45977</v>
      </c>
      <c r="D54" s="12" t="s">
        <v>58</v>
      </c>
      <c r="E54" s="12">
        <v>100</v>
      </c>
      <c r="F54" s="17"/>
    </row>
    <row r="55" spans="2:6" ht="22.5" customHeight="1">
      <c r="B55" s="48">
        <f>SUM(E55:E59)</f>
        <v>250</v>
      </c>
      <c r="C55" s="4">
        <v>45978</v>
      </c>
      <c r="D55" s="12" t="s">
        <v>58</v>
      </c>
      <c r="E55" s="12">
        <v>100</v>
      </c>
      <c r="F55" s="17"/>
    </row>
    <row r="56" spans="2:6" ht="22.5" customHeight="1">
      <c r="B56" s="49"/>
      <c r="C56" s="4">
        <v>45978</v>
      </c>
      <c r="D56" s="12" t="s">
        <v>58</v>
      </c>
      <c r="E56" s="12">
        <v>100</v>
      </c>
      <c r="F56" s="17"/>
    </row>
    <row r="57" spans="2:6" ht="22.5" customHeight="1">
      <c r="B57" s="49"/>
      <c r="C57" s="4">
        <v>45978</v>
      </c>
      <c r="D57" s="12" t="s">
        <v>67</v>
      </c>
      <c r="E57" s="12">
        <v>10</v>
      </c>
      <c r="F57" s="17"/>
    </row>
    <row r="58" spans="2:6" ht="22.5" customHeight="1">
      <c r="B58" s="49"/>
      <c r="C58" s="4">
        <v>45978</v>
      </c>
      <c r="D58" s="12" t="s">
        <v>68</v>
      </c>
      <c r="E58" s="12">
        <v>10</v>
      </c>
      <c r="F58" s="17"/>
    </row>
    <row r="59" spans="2:6" ht="22.5" customHeight="1" thickBot="1">
      <c r="B59" s="50"/>
      <c r="C59" s="4">
        <v>45978</v>
      </c>
      <c r="D59" s="12" t="s">
        <v>57</v>
      </c>
      <c r="E59" s="12">
        <v>30</v>
      </c>
      <c r="F59" s="17"/>
    </row>
    <row r="60" spans="2:6" ht="22.5" customHeight="1" thickBot="1">
      <c r="B60" s="27">
        <f>SUM(E60:E60)</f>
        <v>100</v>
      </c>
      <c r="C60" s="4">
        <v>45979</v>
      </c>
      <c r="D60" s="12" t="s">
        <v>58</v>
      </c>
      <c r="E60" s="12">
        <v>100</v>
      </c>
      <c r="F60" s="17"/>
    </row>
    <row r="61" spans="2:6" ht="22.5" customHeight="1">
      <c r="B61" s="48">
        <f>SUM(E61:E62)</f>
        <v>50</v>
      </c>
      <c r="C61" s="4">
        <v>45980</v>
      </c>
      <c r="D61" s="12" t="s">
        <v>57</v>
      </c>
      <c r="E61" s="12">
        <v>30</v>
      </c>
      <c r="F61" s="17"/>
    </row>
    <row r="62" spans="2:6" ht="22.5" customHeight="1" thickBot="1">
      <c r="B62" s="49"/>
      <c r="C62" s="4">
        <v>45980</v>
      </c>
      <c r="D62" s="12" t="s">
        <v>16</v>
      </c>
      <c r="E62" s="12">
        <v>20</v>
      </c>
      <c r="F62" s="17"/>
    </row>
    <row r="63" spans="2:6" ht="22.5" customHeight="1">
      <c r="B63" s="48">
        <f>SUM(E63:E69)</f>
        <v>300</v>
      </c>
      <c r="C63" s="4">
        <v>45981</v>
      </c>
      <c r="D63" s="12" t="s">
        <v>58</v>
      </c>
      <c r="E63" s="12">
        <v>100</v>
      </c>
      <c r="F63" s="17"/>
    </row>
    <row r="64" spans="2:6" ht="22.5" customHeight="1">
      <c r="B64" s="49"/>
      <c r="C64" s="4">
        <v>45981</v>
      </c>
      <c r="D64" s="12" t="s">
        <v>19</v>
      </c>
      <c r="E64" s="12">
        <v>35</v>
      </c>
      <c r="F64" s="17"/>
    </row>
    <row r="65" spans="2:6" ht="22.5" customHeight="1">
      <c r="B65" s="49"/>
      <c r="C65" s="4">
        <v>45981</v>
      </c>
      <c r="D65" s="12" t="s">
        <v>5</v>
      </c>
      <c r="E65" s="12">
        <v>80</v>
      </c>
      <c r="F65" s="17"/>
    </row>
    <row r="66" spans="2:6" ht="22.5" customHeight="1">
      <c r="B66" s="49"/>
      <c r="C66" s="4">
        <v>45981</v>
      </c>
      <c r="D66" s="12" t="s">
        <v>5</v>
      </c>
      <c r="E66" s="12">
        <v>10</v>
      </c>
      <c r="F66" s="17"/>
    </row>
    <row r="67" spans="2:6" ht="22.5" customHeight="1">
      <c r="B67" s="49"/>
      <c r="C67" s="4">
        <v>45981</v>
      </c>
      <c r="D67" s="12" t="s">
        <v>57</v>
      </c>
      <c r="E67" s="12">
        <v>30</v>
      </c>
      <c r="F67" s="17"/>
    </row>
    <row r="68" spans="2:6" ht="22.5" customHeight="1">
      <c r="B68" s="49"/>
      <c r="C68" s="4">
        <v>45981</v>
      </c>
      <c r="D68" s="12" t="s">
        <v>16</v>
      </c>
      <c r="E68" s="12">
        <v>20</v>
      </c>
      <c r="F68" s="17"/>
    </row>
    <row r="69" spans="2:6" ht="22.5" customHeight="1" thickBot="1">
      <c r="B69" s="50"/>
      <c r="C69" s="4">
        <v>45981</v>
      </c>
      <c r="D69" s="12" t="s">
        <v>69</v>
      </c>
      <c r="E69" s="12">
        <v>25</v>
      </c>
      <c r="F69" s="17"/>
    </row>
    <row r="70" spans="2:6" ht="22.5" customHeight="1">
      <c r="B70" s="48">
        <f>SUM(E70:E72)</f>
        <v>165</v>
      </c>
      <c r="C70" s="4">
        <v>45982</v>
      </c>
      <c r="D70" s="12" t="s">
        <v>58</v>
      </c>
      <c r="E70" s="12">
        <v>100</v>
      </c>
      <c r="F70" s="17"/>
    </row>
    <row r="71" spans="2:6" ht="22.5" customHeight="1">
      <c r="B71" s="49"/>
      <c r="C71" s="4">
        <v>45982</v>
      </c>
      <c r="D71" s="12" t="s">
        <v>7</v>
      </c>
      <c r="E71" s="12">
        <v>30</v>
      </c>
      <c r="F71" s="17"/>
    </row>
    <row r="72" spans="2:6" ht="22.5" customHeight="1" thickBot="1">
      <c r="B72" s="49"/>
      <c r="C72" s="4">
        <v>45982</v>
      </c>
      <c r="D72" s="12" t="s">
        <v>19</v>
      </c>
      <c r="E72" s="12">
        <v>35</v>
      </c>
      <c r="F72" s="17"/>
    </row>
    <row r="73" spans="2:6" ht="22.5" customHeight="1">
      <c r="B73" s="48">
        <f>SUM(E73:E78)</f>
        <v>200</v>
      </c>
      <c r="C73" s="4">
        <v>45983</v>
      </c>
      <c r="D73" s="12" t="s">
        <v>16</v>
      </c>
      <c r="E73" s="12">
        <v>20</v>
      </c>
      <c r="F73" s="17"/>
    </row>
    <row r="74" spans="2:6" ht="22.5" customHeight="1">
      <c r="B74" s="49"/>
      <c r="C74" s="4">
        <v>45983</v>
      </c>
      <c r="D74" s="12" t="s">
        <v>69</v>
      </c>
      <c r="E74" s="12">
        <v>25</v>
      </c>
      <c r="F74" s="17"/>
    </row>
    <row r="75" spans="2:6" ht="22.5" customHeight="1">
      <c r="B75" s="49"/>
      <c r="C75" s="4">
        <v>45983</v>
      </c>
      <c r="D75" s="12" t="s">
        <v>58</v>
      </c>
      <c r="E75" s="12">
        <v>100</v>
      </c>
      <c r="F75" s="17"/>
    </row>
    <row r="76" spans="2:6" ht="22.5" customHeight="1">
      <c r="B76" s="49"/>
      <c r="C76" s="4">
        <v>45983</v>
      </c>
      <c r="D76" s="12" t="s">
        <v>19</v>
      </c>
      <c r="E76" s="12">
        <v>35</v>
      </c>
      <c r="F76" s="17"/>
    </row>
    <row r="77" spans="2:6" ht="22.5" customHeight="1">
      <c r="B77" s="49"/>
      <c r="C77" s="4">
        <v>45983</v>
      </c>
      <c r="D77" s="12" t="s">
        <v>67</v>
      </c>
      <c r="E77" s="12">
        <v>10</v>
      </c>
      <c r="F77" s="17"/>
    </row>
    <row r="78" spans="2:6" ht="22.5" customHeight="1" thickBot="1">
      <c r="B78" s="50"/>
      <c r="C78" s="4">
        <v>45983</v>
      </c>
      <c r="D78" s="12" t="s">
        <v>58</v>
      </c>
      <c r="E78" s="12">
        <v>10</v>
      </c>
      <c r="F78" s="17"/>
    </row>
    <row r="79" spans="2:6" ht="22.5" customHeight="1">
      <c r="B79" s="48">
        <f>SUM(E79:E84)</f>
        <v>320</v>
      </c>
      <c r="C79" s="4">
        <v>45984</v>
      </c>
      <c r="D79" s="3" t="s">
        <v>70</v>
      </c>
      <c r="E79" s="3">
        <v>10</v>
      </c>
      <c r="F79" s="19"/>
    </row>
    <row r="80" spans="2:6" ht="22.5" customHeight="1">
      <c r="B80" s="49"/>
      <c r="C80" s="4">
        <v>45984</v>
      </c>
      <c r="D80" s="3" t="s">
        <v>58</v>
      </c>
      <c r="E80" s="3">
        <v>100</v>
      </c>
      <c r="F80" s="19"/>
    </row>
    <row r="81" spans="2:6" ht="22.5" customHeight="1">
      <c r="B81" s="49"/>
      <c r="C81" s="4">
        <v>45984</v>
      </c>
      <c r="D81" s="3" t="s">
        <v>5</v>
      </c>
      <c r="E81" s="3">
        <v>80</v>
      </c>
      <c r="F81" s="17"/>
    </row>
    <row r="82" spans="2:6" ht="22.5" customHeight="1">
      <c r="B82" s="49"/>
      <c r="C82" s="4">
        <v>45984</v>
      </c>
      <c r="D82" s="3" t="s">
        <v>5</v>
      </c>
      <c r="E82" s="3">
        <v>70</v>
      </c>
      <c r="F82" s="17"/>
    </row>
    <row r="83" spans="2:6" ht="22.5" customHeight="1">
      <c r="B83" s="49"/>
      <c r="C83" s="4">
        <v>45984</v>
      </c>
      <c r="D83" s="3" t="s">
        <v>5</v>
      </c>
      <c r="E83" s="3">
        <v>20</v>
      </c>
      <c r="F83" s="17"/>
    </row>
    <row r="84" spans="2:6" ht="22.5" customHeight="1">
      <c r="B84" s="49"/>
      <c r="C84" s="4">
        <v>45984</v>
      </c>
      <c r="D84" s="12" t="s">
        <v>71</v>
      </c>
      <c r="E84" s="12">
        <v>40</v>
      </c>
      <c r="F84" s="17"/>
    </row>
    <row r="85" spans="2:6" ht="22.5" customHeight="1" thickBot="1">
      <c r="B85" s="50"/>
      <c r="C85" s="4">
        <v>45984</v>
      </c>
      <c r="D85" s="3" t="s">
        <v>57</v>
      </c>
      <c r="E85" s="3">
        <v>60</v>
      </c>
      <c r="F85" s="17"/>
    </row>
    <row r="86" spans="2:6" ht="22.5" customHeight="1">
      <c r="B86" s="48">
        <f>SUM(E86:E87)</f>
        <v>130</v>
      </c>
      <c r="C86" s="4">
        <v>45985</v>
      </c>
      <c r="D86" s="12" t="s">
        <v>58</v>
      </c>
      <c r="E86" s="12">
        <v>100</v>
      </c>
      <c r="F86" s="17"/>
    </row>
    <row r="87" spans="2:6" ht="22.5" customHeight="1" thickBot="1">
      <c r="B87" s="50"/>
      <c r="C87" s="4">
        <v>45985</v>
      </c>
      <c r="D87" s="12" t="s">
        <v>57</v>
      </c>
      <c r="E87" s="12">
        <v>30</v>
      </c>
      <c r="F87" s="17"/>
    </row>
    <row r="88" spans="2:6" ht="22.5" customHeight="1">
      <c r="B88" s="48">
        <f>SUM(E88:E89)</f>
        <v>150</v>
      </c>
      <c r="C88" s="4">
        <v>45986</v>
      </c>
      <c r="D88" s="12" t="s">
        <v>58</v>
      </c>
      <c r="E88" s="12">
        <v>100</v>
      </c>
      <c r="F88" s="17"/>
    </row>
    <row r="89" spans="2:6" ht="22.5" customHeight="1">
      <c r="B89" s="49"/>
      <c r="C89" s="4">
        <v>45986</v>
      </c>
      <c r="D89" s="12" t="s">
        <v>58</v>
      </c>
      <c r="E89" s="12">
        <v>50</v>
      </c>
      <c r="F89" s="17"/>
    </row>
    <row r="90" spans="2:6" ht="22.5" customHeight="1">
      <c r="B90" s="49"/>
      <c r="C90" s="4">
        <v>45986</v>
      </c>
      <c r="D90" s="12" t="s">
        <v>41</v>
      </c>
      <c r="E90" s="12">
        <v>-5430</v>
      </c>
      <c r="F90" s="17"/>
    </row>
    <row r="91" spans="2:6" ht="22.5" customHeight="1">
      <c r="B91" s="49"/>
      <c r="C91" s="4"/>
      <c r="D91" s="12"/>
      <c r="E91" s="12"/>
      <c r="F91" s="17"/>
    </row>
    <row r="92" spans="2:6" ht="22.5" customHeight="1">
      <c r="B92" s="58">
        <f>SUM(E92:E93)</f>
        <v>0</v>
      </c>
      <c r="C92" s="4"/>
      <c r="D92" s="3"/>
      <c r="E92" s="3"/>
      <c r="F92" s="19"/>
    </row>
    <row r="93" spans="2:6" ht="22.5" customHeight="1">
      <c r="B93" s="59"/>
      <c r="C93" s="4"/>
      <c r="D93" s="12"/>
      <c r="E93" s="12"/>
      <c r="F93" s="17"/>
    </row>
    <row r="94" spans="2:6" ht="22.5" customHeight="1">
      <c r="C94" s="4"/>
      <c r="D94" s="12"/>
      <c r="E94" s="12"/>
      <c r="F94" s="17"/>
    </row>
  </sheetData>
  <mergeCells count="28">
    <mergeCell ref="B28:B29"/>
    <mergeCell ref="B30:B31"/>
    <mergeCell ref="B32:B33"/>
    <mergeCell ref="B34:B36"/>
    <mergeCell ref="B6:B12"/>
    <mergeCell ref="B14:B15"/>
    <mergeCell ref="B16:B18"/>
    <mergeCell ref="C1:E2"/>
    <mergeCell ref="F1:F2"/>
    <mergeCell ref="B19:B21"/>
    <mergeCell ref="B23:B24"/>
    <mergeCell ref="B25:B27"/>
    <mergeCell ref="B49:B51"/>
    <mergeCell ref="B52:B54"/>
    <mergeCell ref="B55:B59"/>
    <mergeCell ref="B61:B62"/>
    <mergeCell ref="B63:B69"/>
    <mergeCell ref="B38:B39"/>
    <mergeCell ref="B41:B42"/>
    <mergeCell ref="B43:B44"/>
    <mergeCell ref="B45:B46"/>
    <mergeCell ref="B47:B48"/>
    <mergeCell ref="B92:B93"/>
    <mergeCell ref="B70:B72"/>
    <mergeCell ref="B86:B87"/>
    <mergeCell ref="B88:B91"/>
    <mergeCell ref="B73:B78"/>
    <mergeCell ref="B79:B85"/>
  </mergeCells>
  <conditionalFormatting sqref="E1:E18 E86:E1048576 E20:E84">
    <cfRule type="cellIs" dxfId="71" priority="25" operator="between">
      <formula>100</formula>
      <formula>1000</formula>
    </cfRule>
    <cfRule type="timePeriod" dxfId="70" priority="26" timePeriod="today">
      <formula>FLOOR(E1,1)=TODAY()</formula>
    </cfRule>
    <cfRule type="cellIs" dxfId="69" priority="27" operator="between">
      <formula>100</formula>
      <formula>500</formula>
    </cfRule>
    <cfRule type="colorScale" priority="28">
      <colorScale>
        <cfvo type="min" val="0"/>
        <cfvo type="max" val="0"/>
        <color rgb="FF63BE7B"/>
        <color rgb="FFFFEF9C"/>
      </colorScale>
    </cfRule>
    <cfRule type="top10" dxfId="68" priority="29" percent="1" rank="10"/>
    <cfRule type="dataBar" priority="30">
      <dataBar>
        <cfvo type="min" val="0"/>
        <cfvo type="max" val="0"/>
        <color rgb="FFD6007B"/>
      </dataBar>
    </cfRule>
  </conditionalFormatting>
  <pageMargins left="0.7" right="0.7" top="0.75" bottom="0.75" header="0.3" footer="0.3"/>
  <pageSetup paperSize="9" fitToWidth="0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>
      <selection activeCell="D111" sqref="D111"/>
    </sheetView>
  </sheetViews>
  <sheetFormatPr baseColWidth="10" defaultColWidth="20.5703125" defaultRowHeight="22.5" customHeight="1"/>
  <cols>
    <col min="1" max="2" width="20.5703125" style="2"/>
    <col min="3" max="3" width="20.5703125" style="16"/>
    <col min="4" max="4" width="23.5703125" style="2" customWidth="1"/>
    <col min="5" max="16384" width="20.5703125" style="2"/>
  </cols>
  <sheetData>
    <row r="1" spans="2:8" ht="22.5" customHeight="1">
      <c r="C1" s="52" t="s">
        <v>21</v>
      </c>
      <c r="D1" s="53"/>
      <c r="E1" s="54"/>
      <c r="F1" s="51">
        <v>12</v>
      </c>
    </row>
    <row r="2" spans="2:8" ht="22.5" customHeight="1" thickBot="1">
      <c r="C2" s="55"/>
      <c r="D2" s="56"/>
      <c r="E2" s="57"/>
      <c r="F2" s="51"/>
    </row>
    <row r="3" spans="2:8" ht="22.5" customHeight="1" thickBot="1">
      <c r="C3" s="15" t="s">
        <v>0</v>
      </c>
      <c r="D3" s="8" t="s">
        <v>1</v>
      </c>
      <c r="E3" s="8" t="s">
        <v>2</v>
      </c>
      <c r="F3" s="9" t="s">
        <v>3</v>
      </c>
    </row>
    <row r="4" spans="2:8" ht="22.5" customHeight="1">
      <c r="B4" s="48">
        <f>SUM(E4:E5)</f>
        <v>80</v>
      </c>
      <c r="C4" s="4">
        <v>45986</v>
      </c>
      <c r="D4" s="3" t="s">
        <v>72</v>
      </c>
      <c r="E4" s="3">
        <v>50</v>
      </c>
      <c r="F4" s="18">
        <f>SUM(E4:E108)</f>
        <v>0</v>
      </c>
      <c r="G4" s="2">
        <v>1</v>
      </c>
      <c r="H4" s="2">
        <v>25</v>
      </c>
    </row>
    <row r="5" spans="2:8" ht="22.5" customHeight="1" thickBot="1">
      <c r="B5" s="50"/>
      <c r="C5" s="4">
        <v>45986</v>
      </c>
      <c r="D5" s="3" t="s">
        <v>48</v>
      </c>
      <c r="E5" s="3">
        <v>30</v>
      </c>
      <c r="F5" s="6"/>
      <c r="G5" s="2">
        <v>2</v>
      </c>
      <c r="H5" s="2">
        <v>26</v>
      </c>
    </row>
    <row r="6" spans="2:8" ht="22.5" customHeight="1">
      <c r="B6" s="48">
        <f>SUM(E6:E10)</f>
        <v>180</v>
      </c>
      <c r="C6" s="4">
        <v>45987</v>
      </c>
      <c r="D6" s="3" t="s">
        <v>6</v>
      </c>
      <c r="E6" s="3">
        <v>100</v>
      </c>
      <c r="F6" s="6"/>
      <c r="G6" s="2">
        <v>3</v>
      </c>
      <c r="H6" s="2">
        <v>27</v>
      </c>
    </row>
    <row r="7" spans="2:8" ht="22.5" customHeight="1">
      <c r="B7" s="49"/>
      <c r="C7" s="4">
        <v>45987</v>
      </c>
      <c r="D7" s="3" t="s">
        <v>5</v>
      </c>
      <c r="E7" s="3">
        <v>15</v>
      </c>
      <c r="F7" s="6"/>
      <c r="G7" s="2">
        <v>4</v>
      </c>
      <c r="H7" s="2">
        <v>28</v>
      </c>
    </row>
    <row r="8" spans="2:8" ht="22.5" customHeight="1">
      <c r="B8" s="49"/>
      <c r="C8" s="4">
        <v>45987</v>
      </c>
      <c r="D8" s="3" t="s">
        <v>4</v>
      </c>
      <c r="E8" s="3">
        <v>15</v>
      </c>
      <c r="F8" s="6"/>
      <c r="G8" s="2">
        <v>5</v>
      </c>
      <c r="H8" s="2">
        <v>29</v>
      </c>
    </row>
    <row r="9" spans="2:8" ht="22.5" customHeight="1">
      <c r="B9" s="49"/>
      <c r="C9" s="4">
        <v>45987</v>
      </c>
      <c r="D9" s="3" t="s">
        <v>48</v>
      </c>
      <c r="E9" s="3">
        <v>30</v>
      </c>
      <c r="F9" s="6"/>
      <c r="G9" s="2">
        <v>6</v>
      </c>
      <c r="H9" s="2">
        <v>30</v>
      </c>
    </row>
    <row r="10" spans="2:8" ht="22.5" customHeight="1" thickBot="1">
      <c r="B10" s="49"/>
      <c r="C10" s="4">
        <v>45987</v>
      </c>
      <c r="D10" s="3" t="s">
        <v>44</v>
      </c>
      <c r="E10" s="3">
        <v>20</v>
      </c>
      <c r="F10" s="6"/>
      <c r="G10" s="2">
        <v>7</v>
      </c>
      <c r="H10" s="2">
        <v>1</v>
      </c>
    </row>
    <row r="11" spans="2:8" ht="22.5" customHeight="1">
      <c r="B11" s="48">
        <f>SUM(E11:E13)</f>
        <v>230</v>
      </c>
      <c r="C11" s="4">
        <v>45988</v>
      </c>
      <c r="D11" s="3" t="s">
        <v>6</v>
      </c>
      <c r="E11" s="3">
        <v>50</v>
      </c>
      <c r="F11" s="6"/>
      <c r="G11" s="2">
        <v>8</v>
      </c>
      <c r="H11" s="2">
        <v>2</v>
      </c>
    </row>
    <row r="12" spans="2:8" ht="22.5" customHeight="1">
      <c r="B12" s="49"/>
      <c r="C12" s="4">
        <v>45988</v>
      </c>
      <c r="D12" s="3" t="s">
        <v>6</v>
      </c>
      <c r="E12" s="3">
        <v>100</v>
      </c>
      <c r="F12" s="6"/>
      <c r="G12" s="2">
        <v>9</v>
      </c>
      <c r="H12" s="2">
        <v>3</v>
      </c>
    </row>
    <row r="13" spans="2:8" ht="22.5" customHeight="1" thickBot="1">
      <c r="B13" s="50"/>
      <c r="C13" s="4">
        <v>45988</v>
      </c>
      <c r="D13" s="3" t="s">
        <v>5</v>
      </c>
      <c r="E13" s="3">
        <v>80</v>
      </c>
      <c r="F13" s="6"/>
      <c r="G13" s="2">
        <v>10</v>
      </c>
      <c r="H13" s="2">
        <v>4</v>
      </c>
    </row>
    <row r="14" spans="2:8" ht="22.5" customHeight="1">
      <c r="B14" s="48">
        <f>SUM(E14:E18)</f>
        <v>250</v>
      </c>
      <c r="C14" s="4">
        <v>45989</v>
      </c>
      <c r="D14" s="3" t="s">
        <v>48</v>
      </c>
      <c r="E14" s="3">
        <v>60</v>
      </c>
      <c r="F14" s="6"/>
      <c r="G14" s="2">
        <v>11</v>
      </c>
      <c r="H14" s="2">
        <v>5</v>
      </c>
    </row>
    <row r="15" spans="2:8" ht="22.5" customHeight="1">
      <c r="B15" s="49"/>
      <c r="C15" s="4">
        <v>45989</v>
      </c>
      <c r="D15" s="3" t="s">
        <v>6</v>
      </c>
      <c r="E15" s="3">
        <v>100</v>
      </c>
      <c r="F15" s="6"/>
      <c r="G15" s="2">
        <v>12</v>
      </c>
      <c r="H15" s="2">
        <v>6</v>
      </c>
    </row>
    <row r="16" spans="2:8" ht="22.5" customHeight="1">
      <c r="B16" s="49"/>
      <c r="C16" s="4">
        <v>45989</v>
      </c>
      <c r="D16" s="3" t="s">
        <v>67</v>
      </c>
      <c r="E16" s="3">
        <v>10</v>
      </c>
      <c r="F16" s="6"/>
      <c r="G16" s="2">
        <v>13</v>
      </c>
      <c r="H16" s="2">
        <v>7</v>
      </c>
    </row>
    <row r="17" spans="2:8" ht="22.5" customHeight="1">
      <c r="B17" s="49"/>
      <c r="C17" s="4">
        <v>45989</v>
      </c>
      <c r="D17" s="3" t="s">
        <v>6</v>
      </c>
      <c r="E17" s="3">
        <v>50</v>
      </c>
      <c r="F17" s="6"/>
      <c r="G17" s="2">
        <v>14</v>
      </c>
      <c r="H17" s="2">
        <v>8</v>
      </c>
    </row>
    <row r="18" spans="2:8" ht="22.5" customHeight="1" thickBot="1">
      <c r="B18" s="49"/>
      <c r="C18" s="4">
        <v>45989</v>
      </c>
      <c r="D18" s="3" t="s">
        <v>16</v>
      </c>
      <c r="E18" s="3">
        <v>30</v>
      </c>
      <c r="F18" s="6"/>
      <c r="G18" s="2">
        <v>15</v>
      </c>
      <c r="H18" s="2">
        <v>9</v>
      </c>
    </row>
    <row r="19" spans="2:8" ht="22.5" customHeight="1">
      <c r="B19" s="48">
        <f>SUM(E19:E21)</f>
        <v>75</v>
      </c>
      <c r="C19" s="4">
        <v>45990</v>
      </c>
      <c r="D19" s="3" t="s">
        <v>48</v>
      </c>
      <c r="E19" s="3">
        <v>30</v>
      </c>
      <c r="F19" s="6"/>
      <c r="G19" s="2">
        <v>16</v>
      </c>
      <c r="H19" s="2">
        <v>10</v>
      </c>
    </row>
    <row r="20" spans="2:8" ht="22.5" customHeight="1">
      <c r="B20" s="49"/>
      <c r="C20" s="4">
        <v>45990</v>
      </c>
      <c r="D20" s="3" t="s">
        <v>16</v>
      </c>
      <c r="E20" s="3">
        <v>25</v>
      </c>
      <c r="F20" s="6"/>
      <c r="G20" s="2">
        <v>17</v>
      </c>
      <c r="H20" s="2">
        <v>11</v>
      </c>
    </row>
    <row r="21" spans="2:8" ht="22.5" customHeight="1" thickBot="1">
      <c r="B21" s="49"/>
      <c r="C21" s="4">
        <v>45990</v>
      </c>
      <c r="D21" s="3" t="s">
        <v>73</v>
      </c>
      <c r="E21" s="3">
        <v>20</v>
      </c>
      <c r="F21" s="6"/>
      <c r="G21" s="2">
        <v>18</v>
      </c>
      <c r="H21" s="2">
        <v>12</v>
      </c>
    </row>
    <row r="22" spans="2:8" ht="22.5" customHeight="1">
      <c r="B22" s="48">
        <f>SUM(E22:E23)</f>
        <v>80</v>
      </c>
      <c r="C22" s="4">
        <v>45991</v>
      </c>
      <c r="D22" s="3" t="s">
        <v>6</v>
      </c>
      <c r="E22" s="3">
        <v>50</v>
      </c>
      <c r="F22" s="6"/>
      <c r="G22" s="2">
        <v>19</v>
      </c>
      <c r="H22" s="2">
        <v>13</v>
      </c>
    </row>
    <row r="23" spans="2:8" ht="22.5" customHeight="1" thickBot="1">
      <c r="B23" s="50"/>
      <c r="C23" s="4">
        <v>45991</v>
      </c>
      <c r="D23" s="3" t="s">
        <v>48</v>
      </c>
      <c r="E23" s="3">
        <v>30</v>
      </c>
      <c r="F23" s="6"/>
      <c r="G23" s="2">
        <v>20</v>
      </c>
      <c r="H23" s="2">
        <v>14</v>
      </c>
    </row>
    <row r="24" spans="2:8" ht="22.5" customHeight="1">
      <c r="B24" s="48">
        <f>SUM(E24:E26)</f>
        <v>120</v>
      </c>
      <c r="C24" s="4">
        <v>45992</v>
      </c>
      <c r="D24" s="3" t="s">
        <v>5</v>
      </c>
      <c r="E24" s="3">
        <v>90</v>
      </c>
      <c r="F24" s="6"/>
      <c r="G24" s="2">
        <v>21</v>
      </c>
      <c r="H24" s="2">
        <v>15</v>
      </c>
    </row>
    <row r="25" spans="2:8" ht="22.5" customHeight="1">
      <c r="B25" s="49"/>
      <c r="C25" s="4">
        <v>45992</v>
      </c>
      <c r="D25" s="3" t="s">
        <v>6</v>
      </c>
      <c r="E25" s="3">
        <v>20</v>
      </c>
      <c r="F25" s="6"/>
      <c r="G25" s="2">
        <v>22</v>
      </c>
      <c r="H25" s="2">
        <v>16</v>
      </c>
    </row>
    <row r="26" spans="2:8" ht="22.5" customHeight="1" thickBot="1">
      <c r="B26" s="50"/>
      <c r="C26" s="4">
        <v>45992</v>
      </c>
      <c r="D26" s="3" t="s">
        <v>67</v>
      </c>
      <c r="E26" s="3">
        <v>10</v>
      </c>
      <c r="F26" s="6"/>
      <c r="G26" s="2">
        <v>23</v>
      </c>
      <c r="H26" s="2">
        <v>17</v>
      </c>
    </row>
    <row r="27" spans="2:8" ht="22.5" customHeight="1">
      <c r="B27" s="49">
        <f>SUM(E27:E29)</f>
        <v>190</v>
      </c>
      <c r="C27" s="4">
        <v>45993</v>
      </c>
      <c r="D27" s="12" t="s">
        <v>6</v>
      </c>
      <c r="E27" s="12">
        <v>100</v>
      </c>
      <c r="F27" s="17"/>
      <c r="G27" s="2">
        <v>24</v>
      </c>
      <c r="H27" s="2">
        <v>18</v>
      </c>
    </row>
    <row r="28" spans="2:8" ht="22.5" customHeight="1">
      <c r="B28" s="49"/>
      <c r="C28" s="4">
        <v>45993</v>
      </c>
      <c r="D28" s="12" t="s">
        <v>6</v>
      </c>
      <c r="E28" s="12">
        <v>50</v>
      </c>
      <c r="F28" s="17"/>
      <c r="G28" s="2">
        <v>25</v>
      </c>
      <c r="H28" s="2">
        <v>19</v>
      </c>
    </row>
    <row r="29" spans="2:8" ht="22.5" customHeight="1" thickBot="1">
      <c r="B29" s="49"/>
      <c r="C29" s="4">
        <v>45993</v>
      </c>
      <c r="D29" s="12" t="s">
        <v>48</v>
      </c>
      <c r="E29" s="12">
        <v>40</v>
      </c>
      <c r="F29" s="17"/>
      <c r="G29" s="2">
        <v>26</v>
      </c>
      <c r="H29" s="2">
        <v>20</v>
      </c>
    </row>
    <row r="30" spans="2:8" ht="22.5" customHeight="1" thickBot="1">
      <c r="B30" s="28">
        <f>SUM(E30:E30)</f>
        <v>100</v>
      </c>
      <c r="C30" s="4">
        <v>45994</v>
      </c>
      <c r="D30" s="12" t="s">
        <v>6</v>
      </c>
      <c r="E30" s="12">
        <v>100</v>
      </c>
      <c r="F30" s="17"/>
      <c r="G30" s="2">
        <v>27</v>
      </c>
      <c r="H30" s="2">
        <v>21</v>
      </c>
    </row>
    <row r="31" spans="2:8" ht="22.5" customHeight="1">
      <c r="B31" s="48">
        <f>SUM(E31:E36)</f>
        <v>416</v>
      </c>
      <c r="C31" s="4">
        <v>45995</v>
      </c>
      <c r="D31" s="12" t="s">
        <v>4</v>
      </c>
      <c r="E31" s="12">
        <v>50</v>
      </c>
      <c r="F31" s="17"/>
      <c r="G31" s="2">
        <v>29</v>
      </c>
      <c r="H31" s="2">
        <v>23</v>
      </c>
    </row>
    <row r="32" spans="2:8" ht="22.5" customHeight="1">
      <c r="B32" s="49"/>
      <c r="C32" s="4">
        <v>45995</v>
      </c>
      <c r="D32" s="12" t="s">
        <v>48</v>
      </c>
      <c r="E32" s="12">
        <v>30</v>
      </c>
      <c r="F32" s="17"/>
      <c r="H32" s="2">
        <v>24</v>
      </c>
    </row>
    <row r="33" spans="2:8" ht="22.5" customHeight="1">
      <c r="B33" s="49"/>
      <c r="C33" s="4">
        <v>45995</v>
      </c>
      <c r="D33" s="12" t="s">
        <v>5</v>
      </c>
      <c r="E33" s="12">
        <v>16</v>
      </c>
      <c r="F33" s="17"/>
    </row>
    <row r="34" spans="2:8" ht="22.5" customHeight="1">
      <c r="B34" s="49"/>
      <c r="C34" s="4">
        <v>45995</v>
      </c>
      <c r="D34" s="12" t="s">
        <v>6</v>
      </c>
      <c r="E34" s="12">
        <v>100</v>
      </c>
      <c r="F34" s="17"/>
    </row>
    <row r="35" spans="2:8" ht="22.5" customHeight="1">
      <c r="B35" s="49"/>
      <c r="C35" s="4">
        <v>45995</v>
      </c>
      <c r="D35" s="12" t="s">
        <v>6</v>
      </c>
      <c r="E35" s="12">
        <v>100</v>
      </c>
      <c r="F35" s="17"/>
    </row>
    <row r="36" spans="2:8" ht="22.5" customHeight="1" thickBot="1">
      <c r="B36" s="49"/>
      <c r="C36" s="4">
        <v>45995</v>
      </c>
      <c r="D36" s="12" t="s">
        <v>48</v>
      </c>
      <c r="E36" s="12">
        <v>120</v>
      </c>
      <c r="F36" s="17"/>
      <c r="G36" s="2">
        <v>30</v>
      </c>
      <c r="H36" s="2">
        <v>24</v>
      </c>
    </row>
    <row r="37" spans="2:8" ht="22.5" customHeight="1" thickBot="1">
      <c r="B37" s="28">
        <f>SUM(E37:E37)</f>
        <v>100</v>
      </c>
      <c r="C37" s="4">
        <v>45996</v>
      </c>
      <c r="D37" s="12" t="s">
        <v>6</v>
      </c>
      <c r="E37" s="12">
        <v>100</v>
      </c>
      <c r="F37" s="17"/>
    </row>
    <row r="38" spans="2:8" ht="22.5" customHeight="1">
      <c r="B38" s="48">
        <f>SUM(E38:E43)</f>
        <v>240</v>
      </c>
      <c r="C38" s="4">
        <v>45997</v>
      </c>
      <c r="D38" s="12" t="s">
        <v>48</v>
      </c>
      <c r="E38" s="12">
        <v>30</v>
      </c>
      <c r="F38" s="17"/>
    </row>
    <row r="39" spans="2:8" ht="22.5" customHeight="1">
      <c r="B39" s="49"/>
      <c r="C39" s="4">
        <v>45997</v>
      </c>
      <c r="D39" s="12" t="s">
        <v>6</v>
      </c>
      <c r="E39" s="12">
        <v>10</v>
      </c>
      <c r="F39" s="17"/>
    </row>
    <row r="40" spans="2:8" ht="22.5" customHeight="1">
      <c r="B40" s="49"/>
      <c r="C40" s="4">
        <v>45997</v>
      </c>
      <c r="D40" s="12" t="s">
        <v>6</v>
      </c>
      <c r="E40" s="12">
        <v>100</v>
      </c>
      <c r="F40" s="17"/>
    </row>
    <row r="41" spans="2:8" ht="22.5" customHeight="1">
      <c r="B41" s="49"/>
      <c r="C41" s="4">
        <v>45997</v>
      </c>
      <c r="D41" s="12" t="s">
        <v>6</v>
      </c>
      <c r="E41" s="12">
        <v>20</v>
      </c>
      <c r="F41" s="17"/>
    </row>
    <row r="42" spans="2:8" ht="22.5" customHeight="1">
      <c r="B42" s="49"/>
      <c r="C42" s="4">
        <v>45997</v>
      </c>
      <c r="D42" s="12" t="s">
        <v>74</v>
      </c>
      <c r="E42" s="12">
        <v>50</v>
      </c>
      <c r="F42" s="17"/>
    </row>
    <row r="43" spans="2:8" ht="22.5" customHeight="1" thickBot="1">
      <c r="B43" s="50"/>
      <c r="C43" s="4">
        <v>45997</v>
      </c>
      <c r="D43" s="12" t="s">
        <v>48</v>
      </c>
      <c r="E43" s="12">
        <v>30</v>
      </c>
      <c r="F43" s="17"/>
    </row>
    <row r="44" spans="2:8" ht="22.5" customHeight="1">
      <c r="B44" s="48">
        <f>SUM(E44:E47)</f>
        <v>150</v>
      </c>
      <c r="C44" s="4">
        <v>45998</v>
      </c>
      <c r="D44" s="12" t="s">
        <v>75</v>
      </c>
      <c r="E44" s="12">
        <v>20</v>
      </c>
      <c r="F44" s="17"/>
    </row>
    <row r="45" spans="2:8" ht="22.5" customHeight="1">
      <c r="B45" s="49"/>
      <c r="C45" s="4">
        <v>45998</v>
      </c>
      <c r="D45" s="12" t="s">
        <v>67</v>
      </c>
      <c r="E45" s="12">
        <v>40</v>
      </c>
      <c r="F45" s="17"/>
    </row>
    <row r="46" spans="2:8" ht="22.5" customHeight="1">
      <c r="B46" s="49"/>
      <c r="C46" s="4">
        <v>45998</v>
      </c>
      <c r="D46" s="12" t="s">
        <v>76</v>
      </c>
      <c r="E46" s="12">
        <v>10</v>
      </c>
      <c r="F46" s="17"/>
    </row>
    <row r="47" spans="2:8" ht="22.5" customHeight="1" thickBot="1">
      <c r="B47" s="50"/>
      <c r="C47" s="4">
        <v>45998</v>
      </c>
      <c r="D47" s="12" t="s">
        <v>48</v>
      </c>
      <c r="E47" s="12">
        <v>80</v>
      </c>
      <c r="F47" s="17"/>
    </row>
    <row r="48" spans="2:8" ht="22.5" customHeight="1" thickBot="1">
      <c r="B48" s="29">
        <f>SUM(E48:E48)</f>
        <v>100</v>
      </c>
      <c r="C48" s="4">
        <v>45999</v>
      </c>
      <c r="D48" s="12" t="s">
        <v>6</v>
      </c>
      <c r="E48" s="12">
        <v>100</v>
      </c>
      <c r="F48" s="17"/>
    </row>
    <row r="49" spans="2:6" ht="22.5" customHeight="1">
      <c r="B49" s="48">
        <f>SUM(E49:E50)</f>
        <v>110</v>
      </c>
      <c r="C49" s="4">
        <v>46000</v>
      </c>
      <c r="D49" s="12" t="s">
        <v>6</v>
      </c>
      <c r="E49" s="12">
        <v>100</v>
      </c>
      <c r="F49" s="17"/>
    </row>
    <row r="50" spans="2:6" ht="22.5" customHeight="1" thickBot="1">
      <c r="B50" s="50"/>
      <c r="C50" s="4">
        <v>46000</v>
      </c>
      <c r="D50" s="12" t="s">
        <v>77</v>
      </c>
      <c r="E50" s="12">
        <v>10</v>
      </c>
      <c r="F50" s="17"/>
    </row>
    <row r="51" spans="2:6" ht="22.5" customHeight="1">
      <c r="B51" s="48">
        <f>SUM(E51:E56)</f>
        <v>280</v>
      </c>
      <c r="C51" s="4">
        <v>46001</v>
      </c>
      <c r="D51" s="12" t="s">
        <v>6</v>
      </c>
      <c r="E51" s="12">
        <v>100</v>
      </c>
      <c r="F51" s="17"/>
    </row>
    <row r="52" spans="2:6" ht="22.5" customHeight="1">
      <c r="B52" s="49"/>
      <c r="C52" s="4">
        <v>46001</v>
      </c>
      <c r="D52" s="12" t="s">
        <v>7</v>
      </c>
      <c r="E52" s="12">
        <v>60</v>
      </c>
      <c r="F52" s="17"/>
    </row>
    <row r="53" spans="2:6" ht="22.5" customHeight="1">
      <c r="B53" s="49"/>
      <c r="C53" s="4">
        <v>46001</v>
      </c>
      <c r="D53" s="12" t="s">
        <v>48</v>
      </c>
      <c r="E53" s="12">
        <v>30</v>
      </c>
      <c r="F53" s="17"/>
    </row>
    <row r="54" spans="2:6" ht="22.5" customHeight="1">
      <c r="B54" s="49"/>
      <c r="C54" s="4">
        <v>46001</v>
      </c>
      <c r="D54" s="12" t="s">
        <v>77</v>
      </c>
      <c r="E54" s="12">
        <v>10</v>
      </c>
      <c r="F54" s="17"/>
    </row>
    <row r="55" spans="2:6" ht="22.5" customHeight="1">
      <c r="B55" s="49"/>
      <c r="C55" s="4">
        <v>46001</v>
      </c>
      <c r="D55" s="12" t="s">
        <v>48</v>
      </c>
      <c r="E55" s="12">
        <v>30</v>
      </c>
      <c r="F55" s="17"/>
    </row>
    <row r="56" spans="2:6" ht="22.5" customHeight="1" thickBot="1">
      <c r="B56" s="50"/>
      <c r="C56" s="4">
        <v>46001</v>
      </c>
      <c r="D56" s="12" t="s">
        <v>6</v>
      </c>
      <c r="E56" s="12">
        <v>50</v>
      </c>
      <c r="F56" s="17"/>
    </row>
    <row r="57" spans="2:6" ht="22.5" customHeight="1">
      <c r="B57" s="48">
        <f>SUM(E57:E60)</f>
        <v>200</v>
      </c>
      <c r="C57" s="4">
        <v>46002</v>
      </c>
      <c r="D57" s="12" t="s">
        <v>6</v>
      </c>
      <c r="E57" s="12">
        <v>100</v>
      </c>
      <c r="F57" s="17"/>
    </row>
    <row r="58" spans="2:6" ht="22.5" customHeight="1">
      <c r="B58" s="49"/>
      <c r="C58" s="4">
        <v>46002</v>
      </c>
      <c r="D58" s="12" t="s">
        <v>48</v>
      </c>
      <c r="E58" s="12">
        <v>30</v>
      </c>
      <c r="F58" s="17"/>
    </row>
    <row r="59" spans="2:6" ht="22.5" customHeight="1">
      <c r="B59" s="49"/>
      <c r="C59" s="4">
        <v>46002</v>
      </c>
      <c r="D59" s="12" t="s">
        <v>77</v>
      </c>
      <c r="E59" s="12">
        <v>50</v>
      </c>
      <c r="F59" s="17"/>
    </row>
    <row r="60" spans="2:6" ht="22.5" customHeight="1" thickBot="1">
      <c r="B60" s="49"/>
      <c r="C60" s="4">
        <v>46002</v>
      </c>
      <c r="D60" s="12" t="s">
        <v>73</v>
      </c>
      <c r="E60" s="12">
        <v>20</v>
      </c>
      <c r="F60" s="17"/>
    </row>
    <row r="61" spans="2:6" ht="22.5" customHeight="1">
      <c r="B61" s="48">
        <f>SUM(E61:E62)</f>
        <v>120</v>
      </c>
      <c r="C61" s="4">
        <v>46003</v>
      </c>
      <c r="D61" s="12" t="s">
        <v>6</v>
      </c>
      <c r="E61" s="12">
        <v>100</v>
      </c>
      <c r="F61" s="17"/>
    </row>
    <row r="62" spans="2:6" ht="22.5" customHeight="1" thickBot="1">
      <c r="B62" s="49"/>
      <c r="C62" s="4">
        <v>46003</v>
      </c>
      <c r="D62" s="12" t="s">
        <v>78</v>
      </c>
      <c r="E62" s="12">
        <v>20</v>
      </c>
      <c r="F62" s="17"/>
    </row>
    <row r="63" spans="2:6" ht="22.5" customHeight="1">
      <c r="B63" s="48">
        <f>SUM(E63:E66)</f>
        <v>160</v>
      </c>
      <c r="C63" s="4">
        <v>46004</v>
      </c>
      <c r="D63" s="12" t="s">
        <v>6</v>
      </c>
      <c r="E63" s="12">
        <v>100</v>
      </c>
      <c r="F63" s="17"/>
    </row>
    <row r="64" spans="2:6" ht="22.5" customHeight="1">
      <c r="B64" s="49"/>
      <c r="C64" s="4">
        <v>46004</v>
      </c>
      <c r="D64" s="12" t="s">
        <v>6</v>
      </c>
      <c r="E64" s="12">
        <v>20</v>
      </c>
      <c r="F64" s="17"/>
    </row>
    <row r="65" spans="2:6" ht="22.5" customHeight="1">
      <c r="B65" s="49"/>
      <c r="C65" s="4">
        <v>46004</v>
      </c>
      <c r="D65" s="12" t="s">
        <v>48</v>
      </c>
      <c r="E65" s="12">
        <v>30</v>
      </c>
      <c r="F65" s="17"/>
    </row>
    <row r="66" spans="2:6" ht="22.5" customHeight="1" thickBot="1">
      <c r="B66" s="50"/>
      <c r="C66" s="4">
        <v>46004</v>
      </c>
      <c r="D66" s="12" t="s">
        <v>79</v>
      </c>
      <c r="E66" s="12">
        <v>10</v>
      </c>
      <c r="F66" s="17"/>
    </row>
    <row r="67" spans="2:6" ht="22.5" customHeight="1">
      <c r="B67" s="48">
        <f>SUM(E67:E70)</f>
        <v>245</v>
      </c>
      <c r="C67" s="4">
        <v>46005</v>
      </c>
      <c r="D67" s="12" t="s">
        <v>6</v>
      </c>
      <c r="E67" s="12">
        <v>100</v>
      </c>
      <c r="F67" s="17"/>
    </row>
    <row r="68" spans="2:6" ht="22.5" customHeight="1">
      <c r="B68" s="49"/>
      <c r="C68" s="4">
        <v>46005</v>
      </c>
      <c r="D68" s="12" t="s">
        <v>7</v>
      </c>
      <c r="E68" s="12">
        <v>50</v>
      </c>
      <c r="F68" s="17"/>
    </row>
    <row r="69" spans="2:6" ht="22.5" customHeight="1">
      <c r="B69" s="49"/>
      <c r="C69" s="4">
        <v>46005</v>
      </c>
      <c r="D69" s="12" t="s">
        <v>45</v>
      </c>
      <c r="E69" s="12">
        <v>35</v>
      </c>
      <c r="F69" s="17"/>
    </row>
    <row r="70" spans="2:6" ht="22.5" customHeight="1" thickBot="1">
      <c r="B70" s="49"/>
      <c r="C70" s="4">
        <v>46005</v>
      </c>
      <c r="D70" s="12" t="s">
        <v>48</v>
      </c>
      <c r="E70" s="12">
        <v>60</v>
      </c>
      <c r="F70" s="17"/>
    </row>
    <row r="71" spans="2:6" ht="22.5" customHeight="1" thickBot="1">
      <c r="B71" s="30">
        <f>SUM(E71:E71)</f>
        <v>100</v>
      </c>
      <c r="C71" s="4">
        <v>46006</v>
      </c>
      <c r="D71" s="12" t="s">
        <v>6</v>
      </c>
      <c r="E71" s="12">
        <v>100</v>
      </c>
      <c r="F71" s="17"/>
    </row>
    <row r="72" spans="2:6" ht="22.5" customHeight="1">
      <c r="B72" s="48">
        <f>SUM(E72:E74)</f>
        <v>415</v>
      </c>
      <c r="C72" s="4">
        <v>46007</v>
      </c>
      <c r="D72" s="12" t="s">
        <v>5</v>
      </c>
      <c r="E72" s="12">
        <v>10</v>
      </c>
      <c r="F72" s="17"/>
    </row>
    <row r="73" spans="2:6" ht="22.5" customHeight="1">
      <c r="B73" s="49"/>
      <c r="C73" s="4">
        <v>46007</v>
      </c>
      <c r="D73" s="12" t="s">
        <v>6</v>
      </c>
      <c r="E73" s="12">
        <v>100</v>
      </c>
      <c r="F73" s="17"/>
    </row>
    <row r="74" spans="2:6" ht="22.5" customHeight="1" thickBot="1">
      <c r="B74" s="49"/>
      <c r="C74" s="4"/>
      <c r="D74" s="12"/>
      <c r="E74" s="12">
        <v>305</v>
      </c>
      <c r="F74" s="17"/>
    </row>
    <row r="75" spans="2:6" ht="22.5" customHeight="1">
      <c r="B75" s="48">
        <f>SUM(E75:E79)</f>
        <v>290</v>
      </c>
      <c r="C75" s="4">
        <v>46009</v>
      </c>
      <c r="D75" s="12" t="s">
        <v>80</v>
      </c>
      <c r="E75" s="12">
        <v>160</v>
      </c>
      <c r="F75" s="17"/>
    </row>
    <row r="76" spans="2:6" ht="22.5" customHeight="1">
      <c r="B76" s="49"/>
      <c r="C76" s="4">
        <v>46009</v>
      </c>
      <c r="D76" s="12" t="s">
        <v>73</v>
      </c>
      <c r="E76" s="12">
        <v>20</v>
      </c>
      <c r="F76" s="17"/>
    </row>
    <row r="77" spans="2:6" ht="22.5" customHeight="1">
      <c r="B77" s="49"/>
      <c r="C77" s="4">
        <v>46009</v>
      </c>
      <c r="D77" s="12" t="s">
        <v>81</v>
      </c>
      <c r="E77" s="12">
        <v>30</v>
      </c>
      <c r="F77" s="17"/>
    </row>
    <row r="78" spans="2:6" ht="22.5" customHeight="1">
      <c r="B78" s="49"/>
      <c r="C78" s="4">
        <v>46009</v>
      </c>
      <c r="D78" s="12" t="s">
        <v>6</v>
      </c>
      <c r="E78" s="12">
        <v>50</v>
      </c>
      <c r="F78" s="17"/>
    </row>
    <row r="79" spans="2:6" ht="22.5" customHeight="1" thickBot="1">
      <c r="B79" s="50"/>
      <c r="C79" s="4">
        <v>46009</v>
      </c>
      <c r="D79" s="12" t="s">
        <v>48</v>
      </c>
      <c r="E79" s="12">
        <v>30</v>
      </c>
      <c r="F79" s="17"/>
    </row>
    <row r="80" spans="2:6" ht="22.5" customHeight="1">
      <c r="B80" s="48">
        <f>SUM(E80:E81)</f>
        <v>140</v>
      </c>
      <c r="C80" s="4">
        <v>46010</v>
      </c>
      <c r="D80" s="12" t="s">
        <v>6</v>
      </c>
      <c r="E80" s="12">
        <v>100</v>
      </c>
      <c r="F80" s="17"/>
    </row>
    <row r="81" spans="1:6" ht="22.5" customHeight="1" thickBot="1">
      <c r="A81" s="2">
        <v>4371</v>
      </c>
      <c r="B81" s="49"/>
      <c r="C81" s="4">
        <v>46010</v>
      </c>
      <c r="D81" s="12" t="s">
        <v>48</v>
      </c>
      <c r="E81" s="12">
        <v>40</v>
      </c>
      <c r="F81" s="17"/>
    </row>
    <row r="82" spans="1:6" ht="22.5" customHeight="1">
      <c r="B82" s="48">
        <f>SUM(E82:E86)</f>
        <v>175</v>
      </c>
      <c r="C82" s="4">
        <v>46011</v>
      </c>
      <c r="D82" s="12" t="s">
        <v>6</v>
      </c>
      <c r="E82" s="12">
        <v>100</v>
      </c>
      <c r="F82" s="17"/>
    </row>
    <row r="83" spans="1:6" ht="22.5" customHeight="1">
      <c r="B83" s="49"/>
      <c r="C83" s="4">
        <v>46011</v>
      </c>
      <c r="D83" s="12" t="s">
        <v>6</v>
      </c>
      <c r="E83" s="12">
        <v>20</v>
      </c>
      <c r="F83" s="17"/>
    </row>
    <row r="84" spans="1:6" ht="22.5" customHeight="1">
      <c r="B84" s="49"/>
      <c r="C84" s="4">
        <v>46011</v>
      </c>
      <c r="D84" s="12" t="s">
        <v>78</v>
      </c>
      <c r="E84" s="12">
        <v>20</v>
      </c>
      <c r="F84" s="17"/>
    </row>
    <row r="85" spans="1:6" ht="22.5" customHeight="1">
      <c r="B85" s="49"/>
      <c r="C85" s="4">
        <v>46011</v>
      </c>
      <c r="D85" s="12" t="s">
        <v>37</v>
      </c>
      <c r="E85" s="12">
        <v>5</v>
      </c>
      <c r="F85" s="17"/>
    </row>
    <row r="86" spans="1:6" ht="22.5" customHeight="1" thickBot="1">
      <c r="B86" s="49"/>
      <c r="C86" s="4">
        <v>46011</v>
      </c>
      <c r="D86" s="12" t="s">
        <v>48</v>
      </c>
      <c r="E86" s="12">
        <v>30</v>
      </c>
      <c r="F86" s="17"/>
    </row>
    <row r="87" spans="1:6" ht="22.5" customHeight="1">
      <c r="B87" s="48">
        <f>SUM(E87:E94)</f>
        <v>235</v>
      </c>
      <c r="C87" s="4">
        <v>46012</v>
      </c>
      <c r="D87" s="12" t="s">
        <v>6</v>
      </c>
      <c r="E87" s="12">
        <v>100</v>
      </c>
      <c r="F87" s="17"/>
    </row>
    <row r="88" spans="1:6" ht="22.5" customHeight="1">
      <c r="B88" s="49"/>
      <c r="C88" s="4">
        <v>46012</v>
      </c>
      <c r="D88" s="12" t="s">
        <v>73</v>
      </c>
      <c r="E88" s="12">
        <v>5</v>
      </c>
      <c r="F88" s="17"/>
    </row>
    <row r="89" spans="1:6" ht="22.5" customHeight="1">
      <c r="B89" s="49"/>
      <c r="C89" s="4">
        <v>46012</v>
      </c>
      <c r="D89" s="12" t="s">
        <v>78</v>
      </c>
      <c r="E89" s="12">
        <v>20</v>
      </c>
      <c r="F89" s="17"/>
    </row>
    <row r="90" spans="1:6" ht="22.5" customHeight="1">
      <c r="B90" s="49"/>
      <c r="C90" s="4">
        <v>46012</v>
      </c>
      <c r="D90" s="12" t="s">
        <v>6</v>
      </c>
      <c r="E90" s="12">
        <v>20</v>
      </c>
      <c r="F90" s="17"/>
    </row>
    <row r="91" spans="1:6" ht="22.5" customHeight="1">
      <c r="B91" s="49"/>
      <c r="C91" s="4">
        <v>46012</v>
      </c>
      <c r="D91" s="12" t="s">
        <v>48</v>
      </c>
      <c r="E91" s="12">
        <v>30</v>
      </c>
      <c r="F91" s="17"/>
    </row>
    <row r="92" spans="1:6" ht="22.5" customHeight="1">
      <c r="B92" s="49"/>
      <c r="C92" s="4">
        <v>46012</v>
      </c>
      <c r="D92" s="12" t="s">
        <v>5</v>
      </c>
      <c r="E92" s="12">
        <v>10</v>
      </c>
      <c r="F92" s="17"/>
    </row>
    <row r="93" spans="1:6" ht="22.5" customHeight="1">
      <c r="B93" s="49"/>
      <c r="C93" s="4">
        <v>46012</v>
      </c>
      <c r="D93" s="12" t="s">
        <v>48</v>
      </c>
      <c r="E93" s="12">
        <v>30</v>
      </c>
      <c r="F93" s="17"/>
    </row>
    <row r="94" spans="1:6" ht="22.5" customHeight="1" thickBot="1">
      <c r="B94" s="49"/>
      <c r="C94" s="4">
        <v>46012</v>
      </c>
      <c r="D94" s="12" t="s">
        <v>6</v>
      </c>
      <c r="E94" s="12">
        <v>20</v>
      </c>
      <c r="F94" s="17"/>
    </row>
    <row r="95" spans="1:6" ht="22.5" customHeight="1" thickBot="1">
      <c r="B95" s="31">
        <f>SUM(E95:E95)</f>
        <v>65</v>
      </c>
      <c r="C95" s="4">
        <v>46013</v>
      </c>
      <c r="D95" s="12" t="s">
        <v>4</v>
      </c>
      <c r="E95" s="12">
        <v>65</v>
      </c>
      <c r="F95" s="17"/>
    </row>
    <row r="96" spans="1:6" ht="22.5" customHeight="1">
      <c r="B96" s="48">
        <f>SUM(E96:E98)</f>
        <v>233</v>
      </c>
      <c r="C96" s="4">
        <v>46014</v>
      </c>
      <c r="D96" s="3" t="s">
        <v>4</v>
      </c>
      <c r="E96" s="3">
        <v>63</v>
      </c>
      <c r="F96" s="19"/>
    </row>
    <row r="97" spans="2:6" ht="22.5" customHeight="1">
      <c r="B97" s="49"/>
      <c r="C97" s="4">
        <v>46014</v>
      </c>
      <c r="D97" s="3" t="s">
        <v>6</v>
      </c>
      <c r="E97" s="3">
        <v>100</v>
      </c>
      <c r="F97" s="19"/>
    </row>
    <row r="98" spans="2:6" ht="22.5" customHeight="1" thickBot="1">
      <c r="B98" s="49"/>
      <c r="C98" s="4">
        <v>46014</v>
      </c>
      <c r="D98" s="3" t="s">
        <v>48</v>
      </c>
      <c r="E98" s="3">
        <v>70</v>
      </c>
      <c r="F98" s="17"/>
    </row>
    <row r="99" spans="2:6" ht="22.5" customHeight="1">
      <c r="B99" s="48">
        <f>SUM(E99:E101)</f>
        <v>150</v>
      </c>
      <c r="C99" s="4">
        <v>46015</v>
      </c>
      <c r="D99" s="12" t="s">
        <v>6</v>
      </c>
      <c r="E99" s="12">
        <v>100</v>
      </c>
      <c r="F99" s="17"/>
    </row>
    <row r="100" spans="2:6" ht="22.5" customHeight="1">
      <c r="B100" s="49"/>
      <c r="C100" s="4">
        <v>46015</v>
      </c>
      <c r="D100" s="12" t="s">
        <v>48</v>
      </c>
      <c r="E100" s="12">
        <v>30</v>
      </c>
      <c r="F100" s="17"/>
    </row>
    <row r="101" spans="2:6" ht="22.5" customHeight="1" thickBot="1">
      <c r="B101" s="50"/>
      <c r="C101" s="4">
        <v>46015</v>
      </c>
      <c r="D101" s="12" t="s">
        <v>73</v>
      </c>
      <c r="E101" s="12">
        <v>20</v>
      </c>
      <c r="F101" s="17"/>
    </row>
    <row r="102" spans="2:6" ht="22.5" customHeight="1">
      <c r="B102" s="48">
        <f>SUM(E102:E103)</f>
        <v>97</v>
      </c>
      <c r="C102" s="4">
        <v>46016</v>
      </c>
      <c r="D102" s="12" t="s">
        <v>48</v>
      </c>
      <c r="E102" s="12">
        <v>37</v>
      </c>
      <c r="F102" s="17"/>
    </row>
    <row r="103" spans="2:6" ht="22.5" customHeight="1">
      <c r="B103" s="49"/>
      <c r="C103" s="4">
        <v>46016</v>
      </c>
      <c r="D103" s="12" t="s">
        <v>7</v>
      </c>
      <c r="E103" s="12">
        <v>60</v>
      </c>
      <c r="F103" s="17"/>
    </row>
    <row r="104" spans="2:6" ht="22.5" customHeight="1">
      <c r="B104" s="49"/>
      <c r="C104" s="4">
        <v>46016</v>
      </c>
      <c r="D104" s="12" t="s">
        <v>17</v>
      </c>
      <c r="E104" s="12">
        <v>50</v>
      </c>
      <c r="F104" s="17"/>
    </row>
    <row r="105" spans="2:6" ht="22.5" customHeight="1">
      <c r="B105" s="49"/>
      <c r="C105" s="4">
        <v>46016</v>
      </c>
      <c r="D105" s="12" t="s">
        <v>67</v>
      </c>
      <c r="E105" s="12">
        <v>10</v>
      </c>
      <c r="F105" s="17"/>
    </row>
    <row r="106" spans="2:6" ht="22.5" customHeight="1">
      <c r="B106" s="58">
        <f>SUM(E106:E107)</f>
        <v>-5386</v>
      </c>
      <c r="C106" s="4">
        <v>46016</v>
      </c>
      <c r="D106" s="3"/>
      <c r="E106" s="3">
        <v>-5386</v>
      </c>
      <c r="F106" s="19"/>
    </row>
    <row r="107" spans="2:6" ht="22.5" customHeight="1">
      <c r="B107" s="59"/>
      <c r="C107" s="4"/>
      <c r="D107" s="12"/>
      <c r="E107" s="12"/>
      <c r="F107" s="17"/>
    </row>
    <row r="108" spans="2:6" ht="22.5" customHeight="1">
      <c r="C108" s="4"/>
      <c r="D108" s="12"/>
      <c r="E108" s="12"/>
      <c r="F108" s="17"/>
    </row>
  </sheetData>
  <mergeCells count="28">
    <mergeCell ref="B96:B98"/>
    <mergeCell ref="B99:B101"/>
    <mergeCell ref="B102:B105"/>
    <mergeCell ref="B106:B107"/>
    <mergeCell ref="B27:B29"/>
    <mergeCell ref="B31:B36"/>
    <mergeCell ref="B38:B43"/>
    <mergeCell ref="B44:B47"/>
    <mergeCell ref="B80:B81"/>
    <mergeCell ref="B72:B74"/>
    <mergeCell ref="B75:B79"/>
    <mergeCell ref="B82:B86"/>
    <mergeCell ref="B87:B94"/>
    <mergeCell ref="B49:B50"/>
    <mergeCell ref="B57:B60"/>
    <mergeCell ref="B61:B62"/>
    <mergeCell ref="B67:B70"/>
    <mergeCell ref="B63:B66"/>
    <mergeCell ref="B51:B56"/>
    <mergeCell ref="F1:F2"/>
    <mergeCell ref="B6:B10"/>
    <mergeCell ref="B11:B13"/>
    <mergeCell ref="B14:B18"/>
    <mergeCell ref="B24:B26"/>
    <mergeCell ref="B22:B23"/>
    <mergeCell ref="B19:B21"/>
    <mergeCell ref="C1:E2"/>
    <mergeCell ref="B4:B5"/>
  </mergeCells>
  <conditionalFormatting sqref="E1:E18 E20:E1048576">
    <cfRule type="cellIs" dxfId="59" priority="1" operator="between">
      <formula>100</formula>
      <formula>1000</formula>
    </cfRule>
    <cfRule type="timePeriod" dxfId="58" priority="2" timePeriod="today">
      <formula>FLOOR(E1,1)=TODAY()</formula>
    </cfRule>
    <cfRule type="cellIs" dxfId="57" priority="3" operator="between">
      <formula>100</formula>
      <formula>500</formula>
    </cfRule>
    <cfRule type="colorScale" priority="4">
      <colorScale>
        <cfvo type="min" val="0"/>
        <cfvo type="max" val="0"/>
        <color rgb="FF63BE7B"/>
        <color rgb="FFFFEF9C"/>
      </colorScale>
    </cfRule>
    <cfRule type="top10" dxfId="56" priority="5" percent="1" rank="10"/>
    <cfRule type="dataBar" priority="6">
      <dataBar>
        <cfvo type="min" val="0"/>
        <cfvo type="max" val="0"/>
        <color rgb="FFD6007B"/>
      </dataBar>
    </cfRule>
  </conditionalFormatting>
  <pageMargins left="0.7" right="0.7" top="0.75" bottom="0.75" header="0.3" footer="0.3"/>
  <pageSetup paperSize="9" fitToWidth="0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B1:H58"/>
  <sheetViews>
    <sheetView workbookViewId="0">
      <selection activeCell="F8" sqref="F8"/>
    </sheetView>
  </sheetViews>
  <sheetFormatPr baseColWidth="10" defaultColWidth="20.5703125" defaultRowHeight="22.5" customHeight="1"/>
  <cols>
    <col min="1" max="2" width="20.5703125" style="2"/>
    <col min="3" max="3" width="20.5703125" style="16"/>
    <col min="4" max="4" width="23.5703125" style="2" customWidth="1"/>
    <col min="5" max="16384" width="20.5703125" style="2"/>
  </cols>
  <sheetData>
    <row r="1" spans="2:8" ht="22.5" customHeight="1">
      <c r="C1" s="52" t="s">
        <v>21</v>
      </c>
      <c r="D1" s="53"/>
      <c r="E1" s="54"/>
      <c r="F1" s="51">
        <v>1</v>
      </c>
    </row>
    <row r="2" spans="2:8" ht="22.5" customHeight="1" thickBot="1">
      <c r="C2" s="55"/>
      <c r="D2" s="56"/>
      <c r="E2" s="57"/>
      <c r="F2" s="51"/>
    </row>
    <row r="3" spans="2:8" ht="22.5" customHeight="1" thickBot="1">
      <c r="C3" s="15" t="s">
        <v>0</v>
      </c>
      <c r="D3" s="8" t="s">
        <v>1</v>
      </c>
      <c r="E3" s="8" t="s">
        <v>2</v>
      </c>
      <c r="F3" s="9" t="s">
        <v>3</v>
      </c>
    </row>
    <row r="4" spans="2:8" ht="22.5" customHeight="1">
      <c r="B4" s="48">
        <f>SUM(E4:E5)</f>
        <v>1643</v>
      </c>
      <c r="C4" s="4">
        <v>46031</v>
      </c>
      <c r="D4" s="3" t="s">
        <v>82</v>
      </c>
      <c r="E4" s="3">
        <v>1593</v>
      </c>
      <c r="F4" s="18">
        <f>SUM(E4:E58)</f>
        <v>0</v>
      </c>
      <c r="G4" s="2">
        <v>1</v>
      </c>
      <c r="H4" s="2">
        <v>25</v>
      </c>
    </row>
    <row r="5" spans="2:8" ht="22.5" customHeight="1" thickBot="1">
      <c r="B5" s="50"/>
      <c r="C5" s="4">
        <v>46031</v>
      </c>
      <c r="D5" s="3" t="s">
        <v>6</v>
      </c>
      <c r="E5" s="3">
        <v>50</v>
      </c>
      <c r="F5" s="6"/>
      <c r="G5" s="2">
        <v>2</v>
      </c>
      <c r="H5" s="2">
        <v>26</v>
      </c>
    </row>
    <row r="6" spans="2:8" ht="22.5" customHeight="1">
      <c r="B6" s="48">
        <f>SUM(E6:E9)</f>
        <v>175</v>
      </c>
      <c r="C6" s="4">
        <v>46032</v>
      </c>
      <c r="D6" s="3" t="s">
        <v>6</v>
      </c>
      <c r="E6" s="3">
        <v>20</v>
      </c>
      <c r="F6" s="6"/>
      <c r="G6" s="2">
        <v>3</v>
      </c>
      <c r="H6" s="2">
        <v>27</v>
      </c>
    </row>
    <row r="7" spans="2:8" ht="22.5" customHeight="1">
      <c r="B7" s="49"/>
      <c r="C7" s="4">
        <v>46032</v>
      </c>
      <c r="D7" s="3" t="s">
        <v>6</v>
      </c>
      <c r="E7" s="3">
        <v>100</v>
      </c>
      <c r="F7" s="6"/>
      <c r="G7" s="2">
        <v>4</v>
      </c>
      <c r="H7" s="2">
        <v>28</v>
      </c>
    </row>
    <row r="8" spans="2:8" ht="22.5" customHeight="1">
      <c r="B8" s="49"/>
      <c r="C8" s="4">
        <v>46032</v>
      </c>
      <c r="D8" s="3" t="s">
        <v>57</v>
      </c>
      <c r="E8" s="3">
        <v>30</v>
      </c>
      <c r="F8" s="6"/>
      <c r="G8" s="2">
        <v>5</v>
      </c>
      <c r="H8" s="2">
        <v>29</v>
      </c>
    </row>
    <row r="9" spans="2:8" ht="22.5" customHeight="1" thickBot="1">
      <c r="B9" s="49"/>
      <c r="C9" s="4">
        <v>46032</v>
      </c>
      <c r="D9" s="3" t="s">
        <v>83</v>
      </c>
      <c r="E9" s="3">
        <v>25</v>
      </c>
      <c r="F9" s="6"/>
      <c r="G9" s="2">
        <v>6</v>
      </c>
      <c r="H9" s="2">
        <v>30</v>
      </c>
    </row>
    <row r="10" spans="2:8" ht="22.5" customHeight="1">
      <c r="B10" s="48">
        <f>SUM(E10:E11)</f>
        <v>130</v>
      </c>
      <c r="C10" s="4">
        <v>46033</v>
      </c>
      <c r="D10" s="3" t="s">
        <v>6</v>
      </c>
      <c r="E10" s="3">
        <v>100</v>
      </c>
      <c r="F10" s="6"/>
      <c r="G10" s="2">
        <v>8</v>
      </c>
      <c r="H10" s="2">
        <v>2</v>
      </c>
    </row>
    <row r="11" spans="2:8" ht="22.5" customHeight="1" thickBot="1">
      <c r="B11" s="49"/>
      <c r="C11" s="4">
        <v>46033</v>
      </c>
      <c r="D11" s="3" t="s">
        <v>57</v>
      </c>
      <c r="E11" s="3">
        <v>30</v>
      </c>
      <c r="F11" s="6"/>
      <c r="G11" s="2">
        <v>9</v>
      </c>
      <c r="H11" s="2">
        <v>3</v>
      </c>
    </row>
    <row r="12" spans="2:8" ht="22.5" customHeight="1">
      <c r="B12" s="48">
        <f>SUM(E12:E14)</f>
        <v>120</v>
      </c>
      <c r="C12" s="4">
        <v>46034</v>
      </c>
      <c r="D12" s="3" t="s">
        <v>6</v>
      </c>
      <c r="E12" s="3">
        <v>50</v>
      </c>
      <c r="F12" s="6"/>
      <c r="G12" s="2">
        <v>11</v>
      </c>
      <c r="H12" s="2">
        <v>5</v>
      </c>
    </row>
    <row r="13" spans="2:8" ht="22.5" customHeight="1">
      <c r="B13" s="49"/>
      <c r="C13" s="4">
        <v>46034</v>
      </c>
      <c r="D13" s="3" t="s">
        <v>57</v>
      </c>
      <c r="E13" s="3">
        <v>60</v>
      </c>
      <c r="F13" s="6"/>
      <c r="G13" s="2">
        <v>12</v>
      </c>
      <c r="H13" s="2">
        <v>6</v>
      </c>
    </row>
    <row r="14" spans="2:8" ht="22.5" customHeight="1" thickBot="1">
      <c r="B14" s="49"/>
      <c r="C14" s="4">
        <v>46034</v>
      </c>
      <c r="D14" s="3" t="s">
        <v>84</v>
      </c>
      <c r="E14" s="3">
        <v>10</v>
      </c>
      <c r="F14" s="6"/>
      <c r="G14" s="2">
        <v>13</v>
      </c>
      <c r="H14" s="2">
        <v>7</v>
      </c>
    </row>
    <row r="15" spans="2:8" ht="22.5" customHeight="1">
      <c r="B15" s="48">
        <f>SUM(E15:E16)</f>
        <v>160</v>
      </c>
      <c r="C15" s="4">
        <v>46035</v>
      </c>
      <c r="D15" s="3" t="s">
        <v>6</v>
      </c>
      <c r="E15" s="3">
        <v>100</v>
      </c>
      <c r="F15" s="6"/>
      <c r="G15" s="2">
        <v>16</v>
      </c>
      <c r="H15" s="2">
        <v>10</v>
      </c>
    </row>
    <row r="16" spans="2:8" ht="22.5" customHeight="1" thickBot="1">
      <c r="B16" s="49"/>
      <c r="C16" s="4">
        <v>46035</v>
      </c>
      <c r="D16" s="3" t="s">
        <v>57</v>
      </c>
      <c r="E16" s="3">
        <v>60</v>
      </c>
      <c r="F16" s="6"/>
      <c r="G16" s="2">
        <v>17</v>
      </c>
      <c r="H16" s="2">
        <v>11</v>
      </c>
    </row>
    <row r="17" spans="2:8" ht="22.5" customHeight="1">
      <c r="B17" s="48">
        <f>SUM(E17:E18)</f>
        <v>160</v>
      </c>
      <c r="C17" s="4">
        <v>46036</v>
      </c>
      <c r="D17" s="3" t="s">
        <v>6</v>
      </c>
      <c r="E17" s="3">
        <v>100</v>
      </c>
      <c r="F17" s="6"/>
      <c r="G17" s="2">
        <v>19</v>
      </c>
      <c r="H17" s="2">
        <v>13</v>
      </c>
    </row>
    <row r="18" spans="2:8" ht="22.5" customHeight="1" thickBot="1">
      <c r="B18" s="50"/>
      <c r="C18" s="4">
        <v>46036</v>
      </c>
      <c r="D18" s="3" t="s">
        <v>85</v>
      </c>
      <c r="E18" s="3">
        <v>60</v>
      </c>
      <c r="F18" s="6"/>
      <c r="G18" s="2">
        <v>20</v>
      </c>
      <c r="H18" s="2">
        <v>14</v>
      </c>
    </row>
    <row r="19" spans="2:8" ht="22.5" customHeight="1">
      <c r="B19" s="48">
        <f>SUM(E19:E23)</f>
        <v>295</v>
      </c>
      <c r="C19" s="4">
        <v>46036</v>
      </c>
      <c r="D19" s="3" t="s">
        <v>57</v>
      </c>
      <c r="E19" s="3">
        <v>30</v>
      </c>
      <c r="F19" s="6"/>
      <c r="G19" s="2">
        <v>21</v>
      </c>
      <c r="H19" s="2">
        <v>15</v>
      </c>
    </row>
    <row r="20" spans="2:8" ht="22.5" customHeight="1">
      <c r="B20" s="49"/>
      <c r="C20" s="4">
        <v>46037</v>
      </c>
      <c r="D20" s="3" t="s">
        <v>6</v>
      </c>
      <c r="E20" s="3">
        <v>50</v>
      </c>
      <c r="F20" s="6"/>
      <c r="G20" s="2">
        <v>22</v>
      </c>
      <c r="H20" s="2">
        <v>16</v>
      </c>
    </row>
    <row r="21" spans="2:8" ht="22.5" customHeight="1">
      <c r="B21" s="49"/>
      <c r="C21" s="4">
        <v>46037</v>
      </c>
      <c r="D21" s="3" t="s">
        <v>85</v>
      </c>
      <c r="E21" s="3">
        <v>30</v>
      </c>
      <c r="F21" s="6"/>
    </row>
    <row r="22" spans="2:8" ht="22.5" customHeight="1">
      <c r="B22" s="49"/>
      <c r="C22" s="4">
        <v>46037</v>
      </c>
      <c r="D22" s="3" t="s">
        <v>6</v>
      </c>
      <c r="E22" s="3">
        <v>100</v>
      </c>
      <c r="F22" s="6"/>
    </row>
    <row r="23" spans="2:8" ht="22.5" customHeight="1" thickBot="1">
      <c r="B23" s="50"/>
      <c r="C23" s="4">
        <v>46037</v>
      </c>
      <c r="D23" s="3" t="s">
        <v>57</v>
      </c>
      <c r="E23" s="3">
        <v>85</v>
      </c>
      <c r="F23" s="6"/>
      <c r="G23" s="2">
        <v>23</v>
      </c>
      <c r="H23" s="2">
        <v>17</v>
      </c>
    </row>
    <row r="24" spans="2:8" ht="22.5" customHeight="1">
      <c r="B24" s="49">
        <f>SUM(E24:E26)</f>
        <v>140</v>
      </c>
      <c r="C24" s="4">
        <v>46038</v>
      </c>
      <c r="D24" s="12" t="s">
        <v>6</v>
      </c>
      <c r="E24" s="12">
        <v>100</v>
      </c>
      <c r="F24" s="17"/>
      <c r="G24" s="2">
        <v>24</v>
      </c>
      <c r="H24" s="2">
        <v>18</v>
      </c>
    </row>
    <row r="25" spans="2:8" ht="22.5" customHeight="1">
      <c r="B25" s="49"/>
      <c r="C25" s="4">
        <v>46038</v>
      </c>
      <c r="D25" s="12" t="s">
        <v>57</v>
      </c>
      <c r="E25" s="12">
        <v>30</v>
      </c>
      <c r="F25" s="17"/>
      <c r="G25" s="2">
        <v>25</v>
      </c>
      <c r="H25" s="2">
        <v>19</v>
      </c>
    </row>
    <row r="26" spans="2:8" ht="22.5" customHeight="1" thickBot="1">
      <c r="B26" s="49"/>
      <c r="C26" s="4">
        <v>46038</v>
      </c>
      <c r="D26" s="12" t="s">
        <v>5</v>
      </c>
      <c r="E26" s="12">
        <v>10</v>
      </c>
      <c r="F26" s="17"/>
      <c r="G26" s="2">
        <v>26</v>
      </c>
      <c r="H26" s="2">
        <v>20</v>
      </c>
    </row>
    <row r="27" spans="2:8" ht="22.5" customHeight="1">
      <c r="B27" s="48">
        <f>SUM(E27:E32)</f>
        <v>370</v>
      </c>
      <c r="C27" s="4">
        <v>46039</v>
      </c>
      <c r="D27" s="12" t="s">
        <v>6</v>
      </c>
      <c r="E27" s="12">
        <v>100</v>
      </c>
      <c r="F27" s="17"/>
      <c r="G27" s="2">
        <v>27</v>
      </c>
      <c r="H27" s="2">
        <v>21</v>
      </c>
    </row>
    <row r="28" spans="2:8" ht="22.5" customHeight="1">
      <c r="B28" s="49"/>
      <c r="C28" s="4">
        <v>46039</v>
      </c>
      <c r="D28" s="12" t="s">
        <v>5</v>
      </c>
      <c r="E28" s="12">
        <v>80</v>
      </c>
      <c r="F28" s="17"/>
      <c r="G28" s="2">
        <v>29</v>
      </c>
      <c r="H28" s="2">
        <v>23</v>
      </c>
    </row>
    <row r="29" spans="2:8" ht="22.5" customHeight="1">
      <c r="B29" s="49"/>
      <c r="C29" s="4">
        <v>46039</v>
      </c>
      <c r="D29" s="12" t="s">
        <v>85</v>
      </c>
      <c r="E29" s="12">
        <v>60</v>
      </c>
      <c r="F29" s="17"/>
      <c r="H29" s="2">
        <v>24</v>
      </c>
    </row>
    <row r="30" spans="2:8" ht="22.5" customHeight="1">
      <c r="B30" s="49"/>
      <c r="C30" s="4">
        <v>46039</v>
      </c>
      <c r="D30" s="12" t="s">
        <v>6</v>
      </c>
      <c r="E30" s="12">
        <v>20</v>
      </c>
      <c r="F30" s="17"/>
    </row>
    <row r="31" spans="2:8" ht="22.5" customHeight="1">
      <c r="B31" s="49"/>
      <c r="C31" s="4">
        <v>46039</v>
      </c>
      <c r="D31" s="12" t="s">
        <v>57</v>
      </c>
      <c r="E31" s="12">
        <v>90</v>
      </c>
      <c r="F31" s="17"/>
    </row>
    <row r="32" spans="2:8" ht="22.5" customHeight="1" thickBot="1">
      <c r="B32" s="49"/>
      <c r="C32" s="4">
        <v>46039</v>
      </c>
      <c r="D32" s="12" t="s">
        <v>86</v>
      </c>
      <c r="E32" s="12">
        <v>20</v>
      </c>
      <c r="F32" s="17"/>
    </row>
    <row r="33" spans="2:6" ht="22.5" customHeight="1">
      <c r="B33" s="48">
        <f>SUM(E33:E36)</f>
        <v>450</v>
      </c>
      <c r="C33" s="4">
        <v>46040</v>
      </c>
      <c r="D33" s="12" t="s">
        <v>87</v>
      </c>
      <c r="E33" s="12">
        <v>300</v>
      </c>
      <c r="F33" s="17"/>
    </row>
    <row r="34" spans="2:6" ht="22.5" customHeight="1">
      <c r="B34" s="49"/>
      <c r="C34" s="4">
        <v>46040</v>
      </c>
      <c r="D34" s="12" t="s">
        <v>6</v>
      </c>
      <c r="E34" s="12">
        <v>100</v>
      </c>
      <c r="F34" s="17"/>
    </row>
    <row r="35" spans="2:6" ht="22.5" customHeight="1">
      <c r="B35" s="49"/>
      <c r="C35" s="4">
        <v>46040</v>
      </c>
      <c r="D35" s="12" t="s">
        <v>6</v>
      </c>
      <c r="E35" s="12">
        <v>20</v>
      </c>
      <c r="F35" s="17"/>
    </row>
    <row r="36" spans="2:6" ht="22.5" customHeight="1" thickBot="1">
      <c r="B36" s="49"/>
      <c r="C36" s="4">
        <v>46040</v>
      </c>
      <c r="D36" s="12" t="s">
        <v>57</v>
      </c>
      <c r="E36" s="12">
        <v>30</v>
      </c>
      <c r="F36" s="17"/>
    </row>
    <row r="37" spans="2:6" ht="22.5" customHeight="1">
      <c r="B37" s="48">
        <f>SUM(E37:E41)</f>
        <v>280</v>
      </c>
      <c r="C37" s="4">
        <v>46041</v>
      </c>
      <c r="D37" s="12" t="s">
        <v>6</v>
      </c>
      <c r="E37" s="12">
        <v>100</v>
      </c>
      <c r="F37" s="17"/>
    </row>
    <row r="38" spans="2:6" ht="22.5" customHeight="1">
      <c r="B38" s="49"/>
      <c r="C38" s="4">
        <v>46041</v>
      </c>
      <c r="D38" s="12" t="s">
        <v>57</v>
      </c>
      <c r="E38" s="12">
        <v>120</v>
      </c>
      <c r="F38" s="17"/>
    </row>
    <row r="39" spans="2:6" ht="22.5" customHeight="1">
      <c r="B39" s="49"/>
      <c r="C39" s="4">
        <v>46041</v>
      </c>
      <c r="D39" s="12" t="s">
        <v>88</v>
      </c>
      <c r="E39" s="12">
        <v>25</v>
      </c>
      <c r="F39" s="17"/>
    </row>
    <row r="40" spans="2:6" ht="22.5" customHeight="1">
      <c r="B40" s="49"/>
      <c r="C40" s="4">
        <v>46041</v>
      </c>
      <c r="D40" s="12" t="s">
        <v>57</v>
      </c>
      <c r="E40" s="12">
        <v>30</v>
      </c>
      <c r="F40" s="17"/>
    </row>
    <row r="41" spans="2:6" ht="22.5" customHeight="1" thickBot="1">
      <c r="B41" s="50"/>
      <c r="C41" s="4">
        <v>46041</v>
      </c>
      <c r="D41" s="12" t="s">
        <v>5</v>
      </c>
      <c r="E41" s="12">
        <v>5</v>
      </c>
      <c r="F41" s="17"/>
    </row>
    <row r="42" spans="2:6" ht="22.5" customHeight="1" thickBot="1">
      <c r="B42" s="32">
        <f>SUM(E42:E42)</f>
        <v>100</v>
      </c>
      <c r="C42" s="4">
        <v>46042</v>
      </c>
      <c r="D42" s="12" t="s">
        <v>6</v>
      </c>
      <c r="E42" s="12">
        <v>100</v>
      </c>
      <c r="F42" s="17"/>
    </row>
    <row r="43" spans="2:6" ht="22.5" customHeight="1">
      <c r="B43" s="48">
        <f>SUM(E43:E45)</f>
        <v>160</v>
      </c>
      <c r="C43" s="4">
        <v>46043</v>
      </c>
      <c r="D43" s="12" t="s">
        <v>57</v>
      </c>
      <c r="E43" s="12">
        <v>30</v>
      </c>
      <c r="F43" s="17"/>
    </row>
    <row r="44" spans="2:6" ht="22.5" customHeight="1">
      <c r="B44" s="49"/>
      <c r="C44" s="4">
        <v>46043</v>
      </c>
      <c r="D44" s="12" t="s">
        <v>6</v>
      </c>
      <c r="E44" s="12">
        <v>100</v>
      </c>
      <c r="F44" s="17"/>
    </row>
    <row r="45" spans="2:6" ht="22.5" customHeight="1" thickBot="1">
      <c r="B45" s="50"/>
      <c r="C45" s="4">
        <v>46043</v>
      </c>
      <c r="D45" s="3" t="s">
        <v>57</v>
      </c>
      <c r="E45" s="3">
        <v>30</v>
      </c>
      <c r="F45" s="17"/>
    </row>
    <row r="46" spans="2:6" ht="22.5" customHeight="1" thickBot="1">
      <c r="B46" s="33">
        <f>SUM(E46:E46)</f>
        <v>100</v>
      </c>
      <c r="C46" s="4">
        <v>46044</v>
      </c>
      <c r="D46" s="12" t="s">
        <v>6</v>
      </c>
      <c r="E46" s="12">
        <v>100</v>
      </c>
      <c r="F46" s="17"/>
    </row>
    <row r="47" spans="2:6" ht="22.5" customHeight="1">
      <c r="B47" s="48">
        <f>SUM(E47:E49)</f>
        <v>160</v>
      </c>
      <c r="C47" s="4">
        <v>46045</v>
      </c>
      <c r="D47" s="12" t="s">
        <v>57</v>
      </c>
      <c r="E47" s="12">
        <v>30</v>
      </c>
      <c r="F47" s="17"/>
    </row>
    <row r="48" spans="2:6" ht="22.5" customHeight="1">
      <c r="B48" s="49"/>
      <c r="C48" s="4">
        <v>46045</v>
      </c>
      <c r="D48" s="12" t="s">
        <v>6</v>
      </c>
      <c r="E48" s="12">
        <v>100</v>
      </c>
      <c r="F48" s="17"/>
    </row>
    <row r="49" spans="2:6" ht="22.5" customHeight="1" thickBot="1">
      <c r="B49" s="49"/>
      <c r="C49" s="4">
        <v>46045</v>
      </c>
      <c r="D49" s="12" t="s">
        <v>57</v>
      </c>
      <c r="E49" s="12">
        <v>30</v>
      </c>
      <c r="F49" s="17"/>
    </row>
    <row r="50" spans="2:6" ht="22.5" customHeight="1">
      <c r="B50" s="48">
        <f>SUM(E50:E56)</f>
        <v>295</v>
      </c>
      <c r="C50" s="4">
        <v>46046</v>
      </c>
      <c r="D50" s="12" t="s">
        <v>6</v>
      </c>
      <c r="E50" s="12">
        <v>150</v>
      </c>
      <c r="F50" s="17"/>
    </row>
    <row r="51" spans="2:6" ht="22.5" customHeight="1">
      <c r="B51" s="49"/>
      <c r="C51" s="4">
        <v>46046</v>
      </c>
      <c r="D51" s="12" t="s">
        <v>85</v>
      </c>
      <c r="E51" s="12">
        <v>30</v>
      </c>
      <c r="F51" s="17"/>
    </row>
    <row r="52" spans="2:6" ht="22.5" customHeight="1">
      <c r="B52" s="49"/>
      <c r="C52" s="4">
        <v>46046</v>
      </c>
      <c r="D52" s="12" t="s">
        <v>85</v>
      </c>
      <c r="E52" s="12">
        <v>30</v>
      </c>
      <c r="F52" s="17"/>
    </row>
    <row r="53" spans="2:6" ht="22.5" customHeight="1">
      <c r="B53" s="49"/>
      <c r="C53" s="4">
        <v>46046</v>
      </c>
      <c r="D53" s="12" t="s">
        <v>85</v>
      </c>
      <c r="E53" s="12">
        <v>30</v>
      </c>
      <c r="F53" s="17"/>
    </row>
    <row r="54" spans="2:6" ht="22.5" customHeight="1">
      <c r="B54" s="49"/>
      <c r="C54" s="4">
        <v>46046</v>
      </c>
      <c r="D54" s="12" t="s">
        <v>89</v>
      </c>
      <c r="E54" s="12">
        <v>15</v>
      </c>
      <c r="F54" s="17"/>
    </row>
    <row r="55" spans="2:6" ht="22.5" customHeight="1">
      <c r="B55" s="49"/>
      <c r="C55" s="4">
        <v>46046</v>
      </c>
      <c r="D55" s="12" t="s">
        <v>89</v>
      </c>
      <c r="E55" s="12">
        <v>10</v>
      </c>
      <c r="F55" s="17"/>
    </row>
    <row r="56" spans="2:6" ht="22.5" customHeight="1" thickBot="1">
      <c r="B56" s="49"/>
      <c r="C56" s="4">
        <v>46046</v>
      </c>
      <c r="D56" s="12" t="s">
        <v>57</v>
      </c>
      <c r="E56" s="12">
        <v>30</v>
      </c>
      <c r="F56" s="17"/>
    </row>
    <row r="57" spans="2:6" ht="22.5" customHeight="1">
      <c r="B57" s="60">
        <f>SUM(E57:E57)</f>
        <v>-4738</v>
      </c>
      <c r="C57" s="4">
        <v>46047</v>
      </c>
      <c r="D57" s="12"/>
      <c r="E57" s="12">
        <v>-4738</v>
      </c>
      <c r="F57" s="17"/>
    </row>
    <row r="58" spans="2:6" ht="22.5" customHeight="1">
      <c r="B58" s="61"/>
      <c r="C58" s="4"/>
      <c r="D58" s="12"/>
      <c r="E58" s="12"/>
      <c r="F58" s="17"/>
    </row>
  </sheetData>
  <mergeCells count="17">
    <mergeCell ref="B57:B58"/>
    <mergeCell ref="B15:B16"/>
    <mergeCell ref="B17:B18"/>
    <mergeCell ref="B19:B23"/>
    <mergeCell ref="B24:B26"/>
    <mergeCell ref="B33:B36"/>
    <mergeCell ref="B37:B41"/>
    <mergeCell ref="B43:B45"/>
    <mergeCell ref="B47:B49"/>
    <mergeCell ref="B50:B56"/>
    <mergeCell ref="B27:B32"/>
    <mergeCell ref="B12:B14"/>
    <mergeCell ref="C1:E2"/>
    <mergeCell ref="F1:F2"/>
    <mergeCell ref="B4:B5"/>
    <mergeCell ref="B6:B9"/>
    <mergeCell ref="B10:B11"/>
  </mergeCells>
  <conditionalFormatting sqref="E1:E14 E46:E1048576 E16:E44">
    <cfRule type="cellIs" dxfId="47" priority="7" operator="between">
      <formula>100</formula>
      <formula>1000</formula>
    </cfRule>
    <cfRule type="timePeriod" dxfId="46" priority="8" timePeriod="today">
      <formula>FLOOR(E1,1)=TODAY()</formula>
    </cfRule>
    <cfRule type="cellIs" dxfId="45" priority="9" operator="between">
      <formula>100</formula>
      <formula>500</formula>
    </cfRule>
    <cfRule type="colorScale" priority="10">
      <colorScale>
        <cfvo type="min" val="0"/>
        <cfvo type="max" val="0"/>
        <color rgb="FF63BE7B"/>
        <color rgb="FFFFEF9C"/>
      </colorScale>
    </cfRule>
    <cfRule type="top10" dxfId="44" priority="11" percent="1" rank="10"/>
    <cfRule type="dataBar" priority="12">
      <dataBar>
        <cfvo type="min" val="0"/>
        <cfvo type="max" val="0"/>
        <color rgb="FFD6007B"/>
      </dataBar>
    </cfRule>
  </conditionalFormatting>
  <pageMargins left="0.7" right="0.7" top="0.75" bottom="0.75" header="0.3" footer="0.3"/>
  <pageSetup paperSize="9" fitToWidth="0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B1:H135"/>
  <sheetViews>
    <sheetView topLeftCell="A126" workbookViewId="0">
      <selection activeCell="D136" sqref="D136"/>
    </sheetView>
  </sheetViews>
  <sheetFormatPr baseColWidth="10" defaultColWidth="20.5703125" defaultRowHeight="22.5" customHeight="1"/>
  <cols>
    <col min="1" max="2" width="20.5703125" style="2"/>
    <col min="3" max="3" width="20.5703125" style="16"/>
    <col min="4" max="4" width="23.5703125" style="2" customWidth="1"/>
    <col min="5" max="16384" width="20.5703125" style="2"/>
  </cols>
  <sheetData>
    <row r="1" spans="2:8" ht="22.5" customHeight="1">
      <c r="C1" s="52" t="s">
        <v>21</v>
      </c>
      <c r="D1" s="53"/>
      <c r="E1" s="54"/>
      <c r="F1" s="51">
        <v>2</v>
      </c>
    </row>
    <row r="2" spans="2:8" ht="22.5" customHeight="1" thickBot="1">
      <c r="C2" s="55"/>
      <c r="D2" s="56"/>
      <c r="E2" s="57"/>
      <c r="F2" s="51"/>
    </row>
    <row r="3" spans="2:8" ht="22.5" customHeight="1" thickBot="1">
      <c r="C3" s="15" t="s">
        <v>0</v>
      </c>
      <c r="D3" s="8" t="s">
        <v>1</v>
      </c>
      <c r="E3" s="8" t="s">
        <v>2</v>
      </c>
      <c r="F3" s="9" t="s">
        <v>3</v>
      </c>
    </row>
    <row r="4" spans="2:8" ht="22.5" customHeight="1">
      <c r="B4" s="48">
        <f>SUM(E4:E6)</f>
        <v>155</v>
      </c>
      <c r="C4" s="4">
        <v>46047</v>
      </c>
      <c r="D4" s="3" t="s">
        <v>88</v>
      </c>
      <c r="E4" s="3">
        <v>35</v>
      </c>
      <c r="F4" s="18">
        <f>SUM(E4:E135)</f>
        <v>0</v>
      </c>
      <c r="G4" s="2">
        <v>1</v>
      </c>
      <c r="H4" s="2">
        <v>25</v>
      </c>
    </row>
    <row r="5" spans="2:8" ht="22.5" customHeight="1">
      <c r="B5" s="49"/>
      <c r="C5" s="4">
        <v>46047</v>
      </c>
      <c r="D5" s="3" t="s">
        <v>90</v>
      </c>
      <c r="E5" s="3">
        <v>20</v>
      </c>
      <c r="F5" s="6"/>
      <c r="G5" s="2">
        <v>2</v>
      </c>
      <c r="H5" s="2">
        <v>26</v>
      </c>
    </row>
    <row r="6" spans="2:8" ht="22.5" customHeight="1" thickBot="1">
      <c r="B6" s="49"/>
      <c r="C6" s="4">
        <v>46047</v>
      </c>
      <c r="D6" s="3" t="s">
        <v>79</v>
      </c>
      <c r="E6" s="3">
        <v>100</v>
      </c>
      <c r="F6" s="6"/>
      <c r="G6" s="2">
        <v>3</v>
      </c>
      <c r="H6" s="2">
        <v>27</v>
      </c>
    </row>
    <row r="7" spans="2:8" ht="22.5" customHeight="1" thickBot="1">
      <c r="B7" s="35">
        <f>SUM(E7:E7)</f>
        <v>100</v>
      </c>
      <c r="C7" s="4">
        <v>46048</v>
      </c>
      <c r="D7" s="3" t="s">
        <v>58</v>
      </c>
      <c r="E7" s="3">
        <v>100</v>
      </c>
      <c r="F7" s="6"/>
      <c r="G7" s="2">
        <v>4</v>
      </c>
      <c r="H7" s="2">
        <v>28</v>
      </c>
    </row>
    <row r="8" spans="2:8" ht="22.5" customHeight="1">
      <c r="B8" s="48">
        <f>SUM(E8:E9)</f>
        <v>135</v>
      </c>
      <c r="C8" s="4">
        <v>46049</v>
      </c>
      <c r="D8" s="3" t="s">
        <v>57</v>
      </c>
      <c r="E8" s="3">
        <v>35</v>
      </c>
      <c r="F8" s="6"/>
      <c r="G8" s="2">
        <v>5</v>
      </c>
      <c r="H8" s="2">
        <v>29</v>
      </c>
    </row>
    <row r="9" spans="2:8" ht="22.5" customHeight="1" thickBot="1">
      <c r="B9" s="49"/>
      <c r="C9" s="4">
        <v>46049</v>
      </c>
      <c r="D9" s="3" t="s">
        <v>58</v>
      </c>
      <c r="E9" s="3">
        <v>100</v>
      </c>
      <c r="F9" s="6"/>
      <c r="G9" s="2">
        <v>6</v>
      </c>
      <c r="H9" s="2">
        <v>30</v>
      </c>
    </row>
    <row r="10" spans="2:8" ht="22.5" customHeight="1">
      <c r="B10" s="48">
        <f>SUM(E10:E11)</f>
        <v>150</v>
      </c>
      <c r="C10" s="4">
        <v>46050</v>
      </c>
      <c r="D10" s="3" t="s">
        <v>58</v>
      </c>
      <c r="E10" s="3">
        <v>100</v>
      </c>
      <c r="F10" s="6"/>
      <c r="G10" s="2">
        <v>7</v>
      </c>
      <c r="H10" s="2">
        <v>31</v>
      </c>
    </row>
    <row r="11" spans="2:8" ht="22.5" customHeight="1" thickBot="1">
      <c r="B11" s="49"/>
      <c r="C11" s="4">
        <v>46050</v>
      </c>
      <c r="D11" s="3" t="s">
        <v>15</v>
      </c>
      <c r="E11" s="3">
        <v>50</v>
      </c>
      <c r="F11" s="6"/>
      <c r="G11" s="2">
        <v>8</v>
      </c>
      <c r="H11" s="2">
        <v>1</v>
      </c>
    </row>
    <row r="12" spans="2:8" ht="22.5" customHeight="1" thickBot="1">
      <c r="B12" s="36">
        <f>SUM(E12:E12)</f>
        <v>150</v>
      </c>
      <c r="C12" s="4">
        <v>46051</v>
      </c>
      <c r="D12" s="3" t="s">
        <v>58</v>
      </c>
      <c r="E12" s="3">
        <v>150</v>
      </c>
      <c r="F12" s="6"/>
      <c r="G12" s="2">
        <v>9</v>
      </c>
      <c r="H12" s="2">
        <v>2</v>
      </c>
    </row>
    <row r="13" spans="2:8" ht="22.5" customHeight="1">
      <c r="B13" s="48">
        <f>SUM(E13:E14)</f>
        <v>220</v>
      </c>
      <c r="C13" s="4">
        <v>46052</v>
      </c>
      <c r="D13" s="3" t="s">
        <v>58</v>
      </c>
      <c r="E13" s="3">
        <v>100</v>
      </c>
      <c r="F13" s="6"/>
      <c r="G13" s="2">
        <v>10</v>
      </c>
      <c r="H13" s="2">
        <v>3</v>
      </c>
    </row>
    <row r="14" spans="2:8" ht="22.5" customHeight="1">
      <c r="B14" s="49"/>
      <c r="C14" s="4">
        <v>46052</v>
      </c>
      <c r="D14" s="3" t="s">
        <v>57</v>
      </c>
      <c r="E14" s="3">
        <v>120</v>
      </c>
      <c r="F14" s="6"/>
      <c r="G14" s="2">
        <v>11</v>
      </c>
      <c r="H14" s="2">
        <v>4</v>
      </c>
    </row>
    <row r="15" spans="2:8" ht="22.5" customHeight="1" thickBot="1">
      <c r="B15" s="38">
        <f>SUM(E15:E15)</f>
        <v>100</v>
      </c>
      <c r="C15" s="4">
        <v>46053</v>
      </c>
      <c r="D15" s="12" t="s">
        <v>58</v>
      </c>
      <c r="E15" s="12">
        <v>100</v>
      </c>
      <c r="F15" s="17"/>
      <c r="G15" s="2">
        <v>12</v>
      </c>
      <c r="H15" s="2">
        <v>5</v>
      </c>
    </row>
    <row r="16" spans="2:8" ht="22.5" customHeight="1">
      <c r="B16" s="48">
        <f>SUM(E16:E19)</f>
        <v>175</v>
      </c>
      <c r="C16" s="4">
        <v>46054</v>
      </c>
      <c r="D16" s="12" t="s">
        <v>61</v>
      </c>
      <c r="E16" s="12">
        <v>50</v>
      </c>
      <c r="F16" s="17"/>
      <c r="G16" s="2">
        <v>13</v>
      </c>
      <c r="H16" s="2">
        <v>6</v>
      </c>
    </row>
    <row r="17" spans="2:8" ht="22.5" customHeight="1">
      <c r="B17" s="49"/>
      <c r="C17" s="4">
        <v>46054</v>
      </c>
      <c r="D17" s="12" t="s">
        <v>91</v>
      </c>
      <c r="E17" s="12">
        <v>20</v>
      </c>
      <c r="F17" s="17"/>
      <c r="G17" s="2">
        <v>14</v>
      </c>
      <c r="H17" s="2">
        <v>7</v>
      </c>
    </row>
    <row r="18" spans="2:8" ht="22.5" customHeight="1">
      <c r="B18" s="49"/>
      <c r="C18" s="4">
        <v>46054</v>
      </c>
      <c r="D18" s="12" t="s">
        <v>91</v>
      </c>
      <c r="E18" s="12">
        <v>5</v>
      </c>
      <c r="F18" s="17"/>
      <c r="G18" s="2">
        <v>15</v>
      </c>
      <c r="H18" s="2">
        <v>8</v>
      </c>
    </row>
    <row r="19" spans="2:8" ht="22.5" customHeight="1" thickBot="1">
      <c r="B19" s="49"/>
      <c r="C19" s="4">
        <v>46054</v>
      </c>
      <c r="D19" s="12" t="s">
        <v>58</v>
      </c>
      <c r="E19" s="12">
        <v>100</v>
      </c>
      <c r="F19" s="17"/>
      <c r="G19" s="2">
        <v>16</v>
      </c>
      <c r="H19" s="2">
        <v>9</v>
      </c>
    </row>
    <row r="20" spans="2:8" ht="22.5" customHeight="1" thickBot="1">
      <c r="B20" s="37">
        <f>SUM(E20:E20)</f>
        <v>100</v>
      </c>
      <c r="C20" s="4">
        <v>46055</v>
      </c>
      <c r="D20" s="12" t="s">
        <v>58</v>
      </c>
      <c r="E20" s="12">
        <v>100</v>
      </c>
      <c r="F20" s="17"/>
      <c r="G20" s="2">
        <v>17</v>
      </c>
      <c r="H20" s="2">
        <v>10</v>
      </c>
    </row>
    <row r="21" spans="2:8" ht="22.5" customHeight="1">
      <c r="B21" s="48">
        <f>SUM(E21:E22)</f>
        <v>110</v>
      </c>
      <c r="C21" s="4">
        <v>46056</v>
      </c>
      <c r="D21" s="12" t="s">
        <v>58</v>
      </c>
      <c r="E21" s="12">
        <v>10</v>
      </c>
      <c r="F21" s="17"/>
      <c r="G21" s="2">
        <v>18</v>
      </c>
      <c r="H21" s="2">
        <v>11</v>
      </c>
    </row>
    <row r="22" spans="2:8" ht="22.5" customHeight="1" thickBot="1">
      <c r="B22" s="49"/>
      <c r="C22" s="4">
        <v>46056</v>
      </c>
      <c r="D22" s="12" t="s">
        <v>58</v>
      </c>
      <c r="E22" s="12">
        <v>100</v>
      </c>
      <c r="F22" s="17"/>
      <c r="G22" s="2">
        <v>19</v>
      </c>
      <c r="H22" s="2">
        <v>12</v>
      </c>
    </row>
    <row r="23" spans="2:8" ht="22.5" customHeight="1" thickBot="1">
      <c r="B23" s="34">
        <f>SUM(E23:E23)</f>
        <v>100</v>
      </c>
      <c r="C23" s="4">
        <v>46057</v>
      </c>
      <c r="D23" s="12" t="s">
        <v>58</v>
      </c>
      <c r="E23" s="12">
        <v>100</v>
      </c>
      <c r="F23" s="17" t="s">
        <v>92</v>
      </c>
      <c r="G23" s="2">
        <v>20</v>
      </c>
      <c r="H23" s="2">
        <v>13</v>
      </c>
    </row>
    <row r="24" spans="2:8" ht="22.5" customHeight="1">
      <c r="B24" s="48">
        <f>SUM(E24:E26)</f>
        <v>173</v>
      </c>
      <c r="C24" s="4">
        <v>46058</v>
      </c>
      <c r="D24" s="12" t="s">
        <v>70</v>
      </c>
      <c r="E24" s="12">
        <v>68</v>
      </c>
      <c r="F24" s="17"/>
      <c r="G24" s="2">
        <v>21</v>
      </c>
      <c r="H24" s="2">
        <v>14</v>
      </c>
    </row>
    <row r="25" spans="2:8" ht="22.5" customHeight="1">
      <c r="B25" s="49"/>
      <c r="C25" s="4">
        <v>46058</v>
      </c>
      <c r="D25" s="12" t="s">
        <v>58</v>
      </c>
      <c r="E25" s="12">
        <v>100</v>
      </c>
      <c r="F25" s="17"/>
      <c r="G25" s="2">
        <v>22</v>
      </c>
      <c r="H25" s="2">
        <v>15</v>
      </c>
    </row>
    <row r="26" spans="2:8" ht="22.5" customHeight="1" thickBot="1">
      <c r="B26" s="50"/>
      <c r="C26" s="4">
        <v>46058</v>
      </c>
      <c r="D26" s="3" t="s">
        <v>91</v>
      </c>
      <c r="E26" s="3">
        <v>5</v>
      </c>
      <c r="F26" s="17"/>
      <c r="G26" s="2">
        <v>23</v>
      </c>
      <c r="H26" s="2">
        <v>16</v>
      </c>
    </row>
    <row r="27" spans="2:8" ht="22.5" customHeight="1">
      <c r="B27" s="48">
        <f>SUM(E27:E38)</f>
        <v>499</v>
      </c>
      <c r="C27" s="4">
        <v>46059</v>
      </c>
      <c r="D27" s="3" t="s">
        <v>58</v>
      </c>
      <c r="E27" s="3">
        <v>10</v>
      </c>
      <c r="F27" s="17"/>
      <c r="G27" s="2">
        <v>24</v>
      </c>
      <c r="H27" s="2">
        <v>17</v>
      </c>
    </row>
    <row r="28" spans="2:8" ht="22.5" customHeight="1">
      <c r="B28" s="49"/>
      <c r="C28" s="4">
        <v>46059</v>
      </c>
      <c r="D28" s="3" t="s">
        <v>91</v>
      </c>
      <c r="E28" s="3">
        <v>20</v>
      </c>
      <c r="F28" s="17"/>
      <c r="G28" s="2">
        <v>25</v>
      </c>
      <c r="H28" s="2">
        <v>18</v>
      </c>
    </row>
    <row r="29" spans="2:8" ht="22.5" customHeight="1">
      <c r="B29" s="49"/>
      <c r="C29" s="4">
        <v>46059</v>
      </c>
      <c r="D29" s="3" t="s">
        <v>58</v>
      </c>
      <c r="E29" s="3">
        <v>100</v>
      </c>
      <c r="F29" s="17"/>
      <c r="G29" s="2">
        <v>26</v>
      </c>
      <c r="H29" s="2">
        <v>19</v>
      </c>
    </row>
    <row r="30" spans="2:8" ht="22.5" customHeight="1">
      <c r="B30" s="49"/>
      <c r="C30" s="4">
        <v>46059</v>
      </c>
      <c r="D30" s="12" t="s">
        <v>70</v>
      </c>
      <c r="E30" s="12">
        <v>32</v>
      </c>
      <c r="F30" s="17"/>
      <c r="G30" s="2">
        <v>27</v>
      </c>
      <c r="H30" s="2">
        <v>20</v>
      </c>
    </row>
    <row r="31" spans="2:8" ht="22.5" customHeight="1">
      <c r="B31" s="49"/>
      <c r="C31" s="4">
        <v>46059</v>
      </c>
      <c r="D31" s="12" t="s">
        <v>93</v>
      </c>
      <c r="E31" s="12">
        <v>15</v>
      </c>
      <c r="F31" s="17"/>
      <c r="G31" s="2">
        <v>28</v>
      </c>
      <c r="H31" s="2">
        <v>21</v>
      </c>
    </row>
    <row r="32" spans="2:8" ht="22.5" customHeight="1">
      <c r="B32" s="49"/>
      <c r="C32" s="4">
        <v>46059</v>
      </c>
      <c r="D32" s="12" t="s">
        <v>58</v>
      </c>
      <c r="E32" s="12">
        <v>200</v>
      </c>
      <c r="F32" s="17"/>
      <c r="G32" s="2">
        <v>29</v>
      </c>
      <c r="H32" s="2">
        <v>22</v>
      </c>
    </row>
    <row r="33" spans="2:8" ht="22.5" customHeight="1">
      <c r="B33" s="49"/>
      <c r="C33" s="4">
        <v>46059</v>
      </c>
      <c r="D33" s="12" t="s">
        <v>57</v>
      </c>
      <c r="E33" s="12">
        <v>30</v>
      </c>
      <c r="F33" s="17"/>
      <c r="G33" s="2">
        <v>30</v>
      </c>
      <c r="H33" s="2">
        <v>23</v>
      </c>
    </row>
    <row r="34" spans="2:8" ht="22.5" customHeight="1">
      <c r="B34" s="49"/>
      <c r="C34" s="4">
        <v>46059</v>
      </c>
      <c r="D34" s="12" t="s">
        <v>94</v>
      </c>
      <c r="E34" s="12">
        <v>30</v>
      </c>
      <c r="F34" s="17"/>
      <c r="G34" s="2">
        <v>31</v>
      </c>
      <c r="H34" s="2">
        <v>24</v>
      </c>
    </row>
    <row r="35" spans="2:8" ht="22.5" customHeight="1">
      <c r="B35" s="49"/>
      <c r="C35" s="4">
        <v>46059</v>
      </c>
      <c r="D35" s="12" t="s">
        <v>95</v>
      </c>
      <c r="E35" s="12">
        <v>35</v>
      </c>
      <c r="F35" s="17"/>
    </row>
    <row r="36" spans="2:8" ht="22.5" customHeight="1">
      <c r="B36" s="49"/>
      <c r="C36" s="4">
        <v>46059</v>
      </c>
      <c r="D36" s="12" t="s">
        <v>96</v>
      </c>
      <c r="E36" s="12">
        <v>7</v>
      </c>
      <c r="F36" s="17"/>
    </row>
    <row r="37" spans="2:8" ht="22.5" customHeight="1">
      <c r="B37" s="49"/>
      <c r="C37" s="4">
        <v>46059</v>
      </c>
      <c r="D37" s="12" t="s">
        <v>95</v>
      </c>
      <c r="E37" s="12">
        <v>10</v>
      </c>
      <c r="F37" s="17"/>
    </row>
    <row r="38" spans="2:8" ht="22.5" customHeight="1" thickBot="1">
      <c r="B38" s="49"/>
      <c r="C38" s="4">
        <v>46059</v>
      </c>
      <c r="D38" s="12" t="s">
        <v>95</v>
      </c>
      <c r="E38" s="12">
        <v>10</v>
      </c>
      <c r="F38" s="17"/>
    </row>
    <row r="39" spans="2:8" ht="22.5" customHeight="1">
      <c r="B39" s="48">
        <f>SUM(E39:E45)</f>
        <v>230</v>
      </c>
      <c r="C39" s="39">
        <v>46060</v>
      </c>
      <c r="D39" s="12" t="s">
        <v>58</v>
      </c>
      <c r="E39" s="12">
        <v>100</v>
      </c>
      <c r="F39" s="17"/>
    </row>
    <row r="40" spans="2:8" ht="22.5" customHeight="1">
      <c r="B40" s="49"/>
      <c r="C40" s="39">
        <v>46060</v>
      </c>
      <c r="D40" s="12" t="s">
        <v>97</v>
      </c>
      <c r="E40" s="12">
        <v>5</v>
      </c>
      <c r="F40" s="17"/>
    </row>
    <row r="41" spans="2:8" ht="22.5" customHeight="1">
      <c r="B41" s="49"/>
      <c r="C41" s="39">
        <v>46060</v>
      </c>
      <c r="D41" s="12" t="s">
        <v>57</v>
      </c>
      <c r="E41" s="12">
        <v>30</v>
      </c>
      <c r="F41" s="17"/>
    </row>
    <row r="42" spans="2:8" ht="22.5" customHeight="1">
      <c r="B42" s="49"/>
      <c r="C42" s="39">
        <v>46060</v>
      </c>
      <c r="D42" s="12" t="s">
        <v>57</v>
      </c>
      <c r="E42" s="12">
        <v>30</v>
      </c>
      <c r="F42" s="17"/>
    </row>
    <row r="43" spans="2:8" ht="22.5" customHeight="1">
      <c r="B43" s="49"/>
      <c r="C43" s="39">
        <v>46060</v>
      </c>
      <c r="D43" s="12" t="s">
        <v>91</v>
      </c>
      <c r="E43" s="12">
        <v>20</v>
      </c>
      <c r="F43" s="17"/>
    </row>
    <row r="44" spans="2:8" ht="22.5" customHeight="1">
      <c r="B44" s="49"/>
      <c r="C44" s="39">
        <v>46060</v>
      </c>
      <c r="D44" s="12" t="s">
        <v>15</v>
      </c>
      <c r="E44" s="12">
        <v>25</v>
      </c>
      <c r="F44" s="17"/>
    </row>
    <row r="45" spans="2:8" ht="22.5" customHeight="1" thickBot="1">
      <c r="B45" s="50"/>
      <c r="C45" s="39">
        <v>46060</v>
      </c>
      <c r="D45" s="12" t="s">
        <v>98</v>
      </c>
      <c r="E45" s="12">
        <v>20</v>
      </c>
      <c r="F45" s="17"/>
    </row>
    <row r="46" spans="2:8" ht="22.5" customHeight="1">
      <c r="B46" s="48">
        <f>SUM(E46:E47)</f>
        <v>130</v>
      </c>
      <c r="C46" s="39">
        <v>46061</v>
      </c>
      <c r="D46" s="12" t="s">
        <v>58</v>
      </c>
      <c r="E46" s="12">
        <v>100</v>
      </c>
      <c r="F46" s="17"/>
    </row>
    <row r="47" spans="2:8" ht="22.5" customHeight="1" thickBot="1">
      <c r="B47" s="50"/>
      <c r="C47" s="39">
        <v>46061</v>
      </c>
      <c r="D47" s="12" t="s">
        <v>57</v>
      </c>
      <c r="E47" s="12">
        <v>30</v>
      </c>
      <c r="F47" s="17"/>
    </row>
    <row r="48" spans="2:8" ht="22.5" customHeight="1">
      <c r="B48" s="48">
        <f>SUM(E48:E56)</f>
        <v>210</v>
      </c>
      <c r="C48" s="39">
        <v>46062</v>
      </c>
      <c r="D48" s="12" t="s">
        <v>95</v>
      </c>
      <c r="E48" s="12">
        <v>5</v>
      </c>
      <c r="F48" s="17"/>
    </row>
    <row r="49" spans="2:6" ht="22.5" customHeight="1">
      <c r="B49" s="49"/>
      <c r="C49" s="39">
        <v>46062</v>
      </c>
      <c r="D49" s="12" t="s">
        <v>58</v>
      </c>
      <c r="E49" s="12">
        <v>10</v>
      </c>
      <c r="F49" s="17"/>
    </row>
    <row r="50" spans="2:6" ht="22.5" customHeight="1">
      <c r="B50" s="49"/>
      <c r="C50" s="39">
        <v>46062</v>
      </c>
      <c r="D50" s="12" t="s">
        <v>58</v>
      </c>
      <c r="E50" s="12">
        <v>100</v>
      </c>
      <c r="F50" s="17"/>
    </row>
    <row r="51" spans="2:6" ht="22.5" customHeight="1">
      <c r="B51" s="49"/>
      <c r="C51" s="39">
        <v>46062</v>
      </c>
      <c r="D51" s="12" t="s">
        <v>58</v>
      </c>
      <c r="E51" s="12">
        <v>10</v>
      </c>
      <c r="F51" s="17"/>
    </row>
    <row r="52" spans="2:6" ht="22.5" customHeight="1">
      <c r="B52" s="49"/>
      <c r="C52" s="39">
        <v>46062</v>
      </c>
      <c r="D52" s="12" t="s">
        <v>83</v>
      </c>
      <c r="E52" s="12">
        <v>25</v>
      </c>
      <c r="F52" s="17"/>
    </row>
    <row r="53" spans="2:6" ht="22.5" customHeight="1">
      <c r="B53" s="49"/>
      <c r="C53" s="39">
        <v>46062</v>
      </c>
      <c r="D53" s="12" t="s">
        <v>15</v>
      </c>
      <c r="E53" s="12">
        <v>25</v>
      </c>
      <c r="F53" s="17"/>
    </row>
    <row r="54" spans="2:6" ht="22.5" customHeight="1">
      <c r="B54" s="49"/>
      <c r="C54" s="39">
        <v>46062</v>
      </c>
      <c r="D54" s="12" t="s">
        <v>15</v>
      </c>
      <c r="E54" s="12">
        <v>15</v>
      </c>
      <c r="F54" s="17"/>
    </row>
    <row r="55" spans="2:6" ht="22.5" customHeight="1">
      <c r="B55" s="49"/>
      <c r="C55" s="39">
        <v>46062</v>
      </c>
      <c r="D55" s="12" t="s">
        <v>76</v>
      </c>
      <c r="E55" s="12">
        <v>10</v>
      </c>
      <c r="F55" s="17"/>
    </row>
    <row r="56" spans="2:6" ht="22.5" customHeight="1" thickBot="1">
      <c r="B56" s="50"/>
      <c r="C56" s="39">
        <v>46062</v>
      </c>
      <c r="D56" s="12" t="s">
        <v>70</v>
      </c>
      <c r="E56" s="12">
        <v>10</v>
      </c>
      <c r="F56" s="17"/>
    </row>
    <row r="57" spans="2:6" ht="22.5" customHeight="1">
      <c r="B57" s="60">
        <f>SUM(E57:E63)</f>
        <v>217</v>
      </c>
      <c r="C57" s="39">
        <v>46063</v>
      </c>
      <c r="D57" s="12" t="s">
        <v>58</v>
      </c>
      <c r="E57" s="12">
        <v>100</v>
      </c>
      <c r="F57" s="17"/>
    </row>
    <row r="58" spans="2:6" ht="22.5" customHeight="1">
      <c r="B58" s="62"/>
      <c r="C58" s="39">
        <v>46063</v>
      </c>
      <c r="D58" s="12" t="s">
        <v>95</v>
      </c>
      <c r="E58" s="12">
        <v>5</v>
      </c>
      <c r="F58" s="17"/>
    </row>
    <row r="59" spans="2:6" ht="22.5" customHeight="1">
      <c r="B59" s="62"/>
      <c r="C59" s="39">
        <v>46063</v>
      </c>
      <c r="D59" s="12" t="s">
        <v>70</v>
      </c>
      <c r="E59" s="12">
        <v>42</v>
      </c>
      <c r="F59" s="17"/>
    </row>
    <row r="60" spans="2:6" ht="22.5" customHeight="1">
      <c r="B60" s="62"/>
      <c r="C60" s="39">
        <v>46063</v>
      </c>
      <c r="D60" s="12" t="s">
        <v>76</v>
      </c>
      <c r="E60" s="12">
        <v>10</v>
      </c>
      <c r="F60" s="17"/>
    </row>
    <row r="61" spans="2:6" ht="22.5" customHeight="1">
      <c r="B61" s="62"/>
      <c r="C61" s="39">
        <v>46063</v>
      </c>
      <c r="D61" s="12" t="s">
        <v>70</v>
      </c>
      <c r="E61" s="12">
        <v>10</v>
      </c>
      <c r="F61" s="17"/>
    </row>
    <row r="62" spans="2:6" ht="22.5" customHeight="1">
      <c r="B62" s="62"/>
      <c r="C62" s="39">
        <v>46063</v>
      </c>
      <c r="D62" s="12" t="s">
        <v>58</v>
      </c>
      <c r="E62" s="12">
        <v>20</v>
      </c>
      <c r="F62" s="17"/>
    </row>
    <row r="63" spans="2:6" ht="22.5" customHeight="1">
      <c r="B63" s="62"/>
      <c r="C63" s="39">
        <v>46063</v>
      </c>
      <c r="D63" s="12" t="s">
        <v>57</v>
      </c>
      <c r="E63" s="12">
        <v>30</v>
      </c>
      <c r="F63" s="17"/>
    </row>
    <row r="64" spans="2:6" ht="22.5" customHeight="1">
      <c r="B64" s="62">
        <f>SUM(E64:E65)</f>
        <v>246</v>
      </c>
      <c r="C64" s="39">
        <v>46064</v>
      </c>
      <c r="D64" s="12" t="s">
        <v>57</v>
      </c>
      <c r="E64" s="12">
        <v>36</v>
      </c>
      <c r="F64" s="17"/>
    </row>
    <row r="65" spans="2:6" ht="22.5" customHeight="1">
      <c r="B65" s="62"/>
      <c r="C65" s="39">
        <v>46064</v>
      </c>
      <c r="D65" s="12" t="s">
        <v>70</v>
      </c>
      <c r="E65" s="12">
        <v>210</v>
      </c>
      <c r="F65" s="17" t="s">
        <v>99</v>
      </c>
    </row>
    <row r="66" spans="2:6" ht="22.5" customHeight="1">
      <c r="B66" s="62">
        <f>SUM(E66:E72)</f>
        <v>288</v>
      </c>
      <c r="C66" s="39">
        <v>46065</v>
      </c>
      <c r="D66" s="12" t="s">
        <v>57</v>
      </c>
      <c r="E66" s="12">
        <v>35</v>
      </c>
      <c r="F66" s="17"/>
    </row>
    <row r="67" spans="2:6" ht="22.5" customHeight="1">
      <c r="B67" s="62"/>
      <c r="C67" s="39">
        <v>46065</v>
      </c>
      <c r="D67" s="12" t="s">
        <v>95</v>
      </c>
      <c r="E67" s="12">
        <v>80</v>
      </c>
      <c r="F67" s="17"/>
    </row>
    <row r="68" spans="2:6" ht="22.5" customHeight="1">
      <c r="B68" s="62"/>
      <c r="C68" s="39">
        <v>46065</v>
      </c>
      <c r="D68" s="12" t="s">
        <v>58</v>
      </c>
      <c r="E68" s="12">
        <v>100</v>
      </c>
      <c r="F68" s="17"/>
    </row>
    <row r="69" spans="2:6" ht="22.5" customHeight="1">
      <c r="B69" s="62"/>
      <c r="C69" s="39">
        <v>46065</v>
      </c>
      <c r="D69" s="12" t="s">
        <v>58</v>
      </c>
      <c r="E69" s="12">
        <v>20</v>
      </c>
      <c r="F69" s="17"/>
    </row>
    <row r="70" spans="2:6" ht="22.5" customHeight="1">
      <c r="B70" s="62"/>
      <c r="C70" s="39">
        <v>46065</v>
      </c>
      <c r="D70" s="12" t="s">
        <v>57</v>
      </c>
      <c r="E70" s="12">
        <v>30</v>
      </c>
      <c r="F70" s="17"/>
    </row>
    <row r="71" spans="2:6" ht="22.5" customHeight="1">
      <c r="B71" s="62"/>
      <c r="C71" s="39">
        <v>46065</v>
      </c>
      <c r="D71" s="12" t="s">
        <v>70</v>
      </c>
      <c r="E71" s="12">
        <v>17</v>
      </c>
      <c r="F71" s="17"/>
    </row>
    <row r="72" spans="2:6" ht="22.5" customHeight="1">
      <c r="B72" s="62"/>
      <c r="C72" s="39">
        <v>46065</v>
      </c>
      <c r="D72" s="12" t="s">
        <v>96</v>
      </c>
      <c r="E72" s="12">
        <v>6</v>
      </c>
      <c r="F72" s="17"/>
    </row>
    <row r="73" spans="2:6" ht="22.5" customHeight="1">
      <c r="B73" s="62">
        <f>SUM(E73:E79)</f>
        <v>282</v>
      </c>
      <c r="C73" s="39">
        <v>46066</v>
      </c>
      <c r="D73" s="12" t="s">
        <v>57</v>
      </c>
      <c r="E73" s="12">
        <v>30</v>
      </c>
      <c r="F73" s="17"/>
    </row>
    <row r="74" spans="2:6" ht="22.5" customHeight="1">
      <c r="B74" s="62"/>
      <c r="C74" s="39">
        <v>46066</v>
      </c>
      <c r="D74" s="12" t="s">
        <v>91</v>
      </c>
      <c r="E74" s="12">
        <v>20</v>
      </c>
      <c r="F74" s="17"/>
    </row>
    <row r="75" spans="2:6" ht="22.5" customHeight="1">
      <c r="B75" s="62"/>
      <c r="C75" s="39">
        <v>46066</v>
      </c>
      <c r="D75" s="12" t="s">
        <v>94</v>
      </c>
      <c r="E75" s="12">
        <v>20</v>
      </c>
      <c r="F75" s="17"/>
    </row>
    <row r="76" spans="2:6" ht="22.5" customHeight="1">
      <c r="B76" s="62"/>
      <c r="C76" s="39">
        <v>46066</v>
      </c>
      <c r="D76" s="12" t="s">
        <v>70</v>
      </c>
      <c r="E76" s="12">
        <v>35</v>
      </c>
      <c r="F76" s="17"/>
    </row>
    <row r="77" spans="2:6" ht="22.5" customHeight="1">
      <c r="B77" s="62"/>
      <c r="C77" s="39">
        <v>46066</v>
      </c>
      <c r="D77" s="12" t="s">
        <v>57</v>
      </c>
      <c r="E77" s="12">
        <v>60</v>
      </c>
      <c r="F77" s="17"/>
    </row>
    <row r="78" spans="2:6" ht="22.5" customHeight="1">
      <c r="B78" s="62"/>
      <c r="C78" s="39">
        <v>46066</v>
      </c>
      <c r="D78" s="12" t="s">
        <v>70</v>
      </c>
      <c r="E78" s="12">
        <v>17</v>
      </c>
      <c r="F78" s="17"/>
    </row>
    <row r="79" spans="2:6" ht="22.5" customHeight="1">
      <c r="B79" s="62"/>
      <c r="C79" s="39">
        <v>46066</v>
      </c>
      <c r="D79" s="12" t="s">
        <v>58</v>
      </c>
      <c r="E79" s="12">
        <v>100</v>
      </c>
      <c r="F79" s="17" t="s">
        <v>100</v>
      </c>
    </row>
    <row r="80" spans="2:6" ht="22.5" customHeight="1">
      <c r="B80" s="62">
        <f>SUM(E80:E86)</f>
        <v>685</v>
      </c>
      <c r="C80" s="39">
        <v>46067</v>
      </c>
      <c r="D80" s="12" t="s">
        <v>101</v>
      </c>
      <c r="E80" s="12">
        <v>40</v>
      </c>
      <c r="F80" s="17"/>
    </row>
    <row r="81" spans="2:6" ht="22.5" customHeight="1">
      <c r="B81" s="62"/>
      <c r="C81" s="39">
        <v>46067</v>
      </c>
      <c r="D81" s="12" t="s">
        <v>101</v>
      </c>
      <c r="E81" s="12">
        <v>20</v>
      </c>
      <c r="F81" s="17"/>
    </row>
    <row r="82" spans="2:6" ht="22.5" customHeight="1">
      <c r="B82" s="62"/>
      <c r="C82" s="39">
        <v>46067</v>
      </c>
      <c r="D82" s="12" t="s">
        <v>70</v>
      </c>
      <c r="E82" s="12">
        <v>20</v>
      </c>
      <c r="F82" s="17"/>
    </row>
    <row r="83" spans="2:6" ht="22.5" customHeight="1">
      <c r="B83" s="62"/>
      <c r="C83" s="39">
        <v>46067</v>
      </c>
      <c r="D83" s="12" t="s">
        <v>70</v>
      </c>
      <c r="E83" s="12">
        <v>35</v>
      </c>
      <c r="F83" s="17"/>
    </row>
    <row r="84" spans="2:6" ht="22.5" customHeight="1">
      <c r="B84" s="62"/>
      <c r="C84" s="39">
        <v>46067</v>
      </c>
      <c r="D84" s="12" t="s">
        <v>102</v>
      </c>
      <c r="E84" s="12">
        <v>380</v>
      </c>
      <c r="F84" s="17"/>
    </row>
    <row r="85" spans="2:6" ht="22.5" customHeight="1">
      <c r="B85" s="62"/>
      <c r="C85" s="39">
        <v>46067</v>
      </c>
      <c r="D85" s="12" t="s">
        <v>58</v>
      </c>
      <c r="E85" s="12">
        <v>100</v>
      </c>
      <c r="F85" s="17" t="s">
        <v>103</v>
      </c>
    </row>
    <row r="86" spans="2:6" ht="22.5" customHeight="1">
      <c r="B86" s="62"/>
      <c r="C86" s="39">
        <v>46067</v>
      </c>
      <c r="D86" s="12" t="s">
        <v>57</v>
      </c>
      <c r="E86" s="12">
        <v>90</v>
      </c>
      <c r="F86" s="17"/>
    </row>
    <row r="87" spans="2:6" ht="22.5" customHeight="1">
      <c r="B87" s="62">
        <f>SUM(E87:E92)</f>
        <v>328</v>
      </c>
      <c r="C87" s="39">
        <v>46068</v>
      </c>
      <c r="D87" s="12" t="s">
        <v>70</v>
      </c>
      <c r="E87" s="12">
        <v>35</v>
      </c>
      <c r="F87" s="17"/>
    </row>
    <row r="88" spans="2:6" ht="22.5" customHeight="1">
      <c r="B88" s="62"/>
      <c r="C88" s="39">
        <v>46068</v>
      </c>
      <c r="D88" s="12" t="s">
        <v>95</v>
      </c>
      <c r="E88" s="12">
        <v>8</v>
      </c>
      <c r="F88" s="17"/>
    </row>
    <row r="89" spans="2:6" ht="22.5" customHeight="1">
      <c r="B89" s="62"/>
      <c r="C89" s="39">
        <v>46068</v>
      </c>
      <c r="D89" s="12" t="s">
        <v>95</v>
      </c>
      <c r="E89" s="12">
        <v>10</v>
      </c>
      <c r="F89" s="17"/>
    </row>
    <row r="90" spans="2:6" ht="22.5" customHeight="1">
      <c r="B90" s="62"/>
      <c r="C90" s="39">
        <v>46068</v>
      </c>
      <c r="D90" s="12" t="s">
        <v>15</v>
      </c>
      <c r="E90" s="12">
        <v>25</v>
      </c>
      <c r="F90" s="17"/>
    </row>
    <row r="91" spans="2:6" ht="22.5" customHeight="1">
      <c r="B91" s="62"/>
      <c r="C91" s="39">
        <v>46068</v>
      </c>
      <c r="D91" s="12" t="s">
        <v>58</v>
      </c>
      <c r="E91" s="12">
        <v>100</v>
      </c>
      <c r="F91" s="17"/>
    </row>
    <row r="92" spans="2:6" ht="22.5" customHeight="1">
      <c r="B92" s="62"/>
      <c r="C92" s="39">
        <v>46068</v>
      </c>
      <c r="D92" s="12" t="s">
        <v>57</v>
      </c>
      <c r="E92" s="12">
        <v>150</v>
      </c>
      <c r="F92" s="17"/>
    </row>
    <row r="93" spans="2:6" ht="22.5" customHeight="1">
      <c r="B93" s="62">
        <f>SUM(E93:E96)</f>
        <v>190</v>
      </c>
      <c r="C93" s="39">
        <v>46069</v>
      </c>
      <c r="D93" s="12" t="s">
        <v>57</v>
      </c>
      <c r="E93" s="12">
        <v>50</v>
      </c>
      <c r="F93" s="17"/>
    </row>
    <row r="94" spans="2:6" ht="22.5" customHeight="1">
      <c r="B94" s="62"/>
      <c r="C94" s="39">
        <v>46069</v>
      </c>
      <c r="D94" s="12" t="s">
        <v>57</v>
      </c>
      <c r="E94" s="12">
        <v>30</v>
      </c>
      <c r="F94" s="17"/>
    </row>
    <row r="95" spans="2:6" ht="22.5" customHeight="1">
      <c r="B95" s="62"/>
      <c r="C95" s="39">
        <v>46069</v>
      </c>
      <c r="D95" s="12" t="s">
        <v>98</v>
      </c>
      <c r="E95" s="12">
        <v>10</v>
      </c>
      <c r="F95" s="17"/>
    </row>
    <row r="96" spans="2:6" ht="22.5" customHeight="1">
      <c r="B96" s="62"/>
      <c r="C96" s="39">
        <v>46069</v>
      </c>
      <c r="D96" s="12" t="s">
        <v>58</v>
      </c>
      <c r="E96" s="12">
        <v>100</v>
      </c>
      <c r="F96" s="17"/>
    </row>
    <row r="97" spans="2:6" ht="22.5" customHeight="1">
      <c r="B97" s="40">
        <f>SUM(Tableau134567[[#This Row],[PRIX]])</f>
        <v>110</v>
      </c>
      <c r="C97" s="39">
        <v>46070</v>
      </c>
      <c r="D97" s="12" t="s">
        <v>58</v>
      </c>
      <c r="E97" s="12">
        <v>110</v>
      </c>
      <c r="F97" s="17"/>
    </row>
    <row r="98" spans="2:6" ht="22.5" customHeight="1">
      <c r="B98" s="62">
        <f>SUM(E98:E105)</f>
        <v>343</v>
      </c>
      <c r="C98" s="39">
        <v>46071</v>
      </c>
      <c r="D98" s="12" t="s">
        <v>98</v>
      </c>
      <c r="E98" s="12">
        <v>20</v>
      </c>
      <c r="F98" s="17"/>
    </row>
    <row r="99" spans="2:6" ht="22.5" customHeight="1">
      <c r="B99" s="62"/>
      <c r="C99" s="39">
        <v>46071</v>
      </c>
      <c r="D99" s="12" t="s">
        <v>95</v>
      </c>
      <c r="E99" s="12">
        <v>10</v>
      </c>
      <c r="F99" s="17"/>
    </row>
    <row r="100" spans="2:6" ht="22.5" customHeight="1">
      <c r="B100" s="62"/>
      <c r="C100" s="39">
        <v>46071</v>
      </c>
      <c r="D100" s="12" t="s">
        <v>57</v>
      </c>
      <c r="E100" s="12">
        <v>60</v>
      </c>
      <c r="F100" s="17">
        <v>5173</v>
      </c>
    </row>
    <row r="101" spans="2:6" ht="22.5" customHeight="1">
      <c r="B101" s="62"/>
      <c r="C101" s="39">
        <v>46071</v>
      </c>
      <c r="D101" s="12" t="s">
        <v>58</v>
      </c>
      <c r="E101" s="12">
        <v>100</v>
      </c>
      <c r="F101" s="17"/>
    </row>
    <row r="102" spans="2:6" ht="22.5" customHeight="1">
      <c r="B102" s="62"/>
      <c r="C102" s="39">
        <v>46071</v>
      </c>
      <c r="D102" s="12" t="s">
        <v>15</v>
      </c>
      <c r="E102" s="12">
        <v>35</v>
      </c>
      <c r="F102" s="17"/>
    </row>
    <row r="103" spans="2:6" ht="22.5" customHeight="1">
      <c r="B103" s="62"/>
      <c r="C103" s="39">
        <v>46071</v>
      </c>
      <c r="D103" s="12" t="s">
        <v>95</v>
      </c>
      <c r="E103" s="12">
        <v>80</v>
      </c>
      <c r="F103" s="17"/>
    </row>
    <row r="104" spans="2:6" ht="22.5" customHeight="1">
      <c r="B104" s="62"/>
      <c r="C104" s="39">
        <v>46071</v>
      </c>
      <c r="D104" s="12" t="s">
        <v>88</v>
      </c>
      <c r="E104" s="12">
        <v>8</v>
      </c>
      <c r="F104" s="17"/>
    </row>
    <row r="105" spans="2:6" ht="22.5" customHeight="1">
      <c r="B105" s="62"/>
      <c r="C105" s="39">
        <v>46071</v>
      </c>
      <c r="D105" s="12" t="s">
        <v>57</v>
      </c>
      <c r="E105" s="12">
        <v>30</v>
      </c>
      <c r="F105" s="17"/>
    </row>
    <row r="106" spans="2:6" ht="22.5" customHeight="1">
      <c r="B106" s="41">
        <f>SUM(Tableau134567[[#This Row],[PRIX]])</f>
        <v>100</v>
      </c>
      <c r="C106" s="39">
        <v>46072</v>
      </c>
      <c r="D106" s="12" t="s">
        <v>58</v>
      </c>
      <c r="E106" s="12">
        <v>100</v>
      </c>
      <c r="F106" s="17"/>
    </row>
    <row r="107" spans="2:6" ht="22.5" customHeight="1">
      <c r="B107" s="62">
        <f>SUM(E107:E109)</f>
        <v>100</v>
      </c>
      <c r="C107" s="39">
        <v>46073</v>
      </c>
      <c r="D107" s="12" t="s">
        <v>94</v>
      </c>
      <c r="E107" s="12">
        <v>30</v>
      </c>
      <c r="F107" s="17"/>
    </row>
    <row r="108" spans="2:6" ht="22.5" customHeight="1">
      <c r="B108" s="62"/>
      <c r="C108" s="39">
        <v>46073</v>
      </c>
      <c r="D108" s="12" t="s">
        <v>91</v>
      </c>
      <c r="E108" s="12">
        <v>20</v>
      </c>
      <c r="F108" s="17"/>
    </row>
    <row r="109" spans="2:6" ht="22.5" customHeight="1">
      <c r="B109" s="62"/>
      <c r="C109" s="39">
        <v>46073</v>
      </c>
      <c r="D109" s="12" t="s">
        <v>58</v>
      </c>
      <c r="E109" s="12">
        <v>50</v>
      </c>
      <c r="F109" s="17"/>
    </row>
    <row r="110" spans="2:6" ht="22.5" customHeight="1">
      <c r="C110" s="39">
        <v>46074</v>
      </c>
      <c r="D110" s="12" t="s">
        <v>57</v>
      </c>
      <c r="E110" s="12">
        <v>30</v>
      </c>
      <c r="F110" s="17"/>
    </row>
    <row r="111" spans="2:6" ht="22.5" customHeight="1">
      <c r="C111" s="39">
        <v>46074</v>
      </c>
      <c r="D111" s="12" t="s">
        <v>94</v>
      </c>
      <c r="E111" s="12">
        <v>20</v>
      </c>
      <c r="F111" s="17"/>
    </row>
    <row r="112" spans="2:6" ht="22.5" customHeight="1">
      <c r="C112" s="39">
        <v>46074</v>
      </c>
      <c r="D112" s="12" t="s">
        <v>91</v>
      </c>
      <c r="E112" s="12">
        <v>20</v>
      </c>
      <c r="F112" s="17">
        <v>5696</v>
      </c>
    </row>
    <row r="113" spans="3:6" ht="22.5" customHeight="1">
      <c r="C113" s="39">
        <v>46074</v>
      </c>
      <c r="D113" s="12" t="s">
        <v>57</v>
      </c>
      <c r="E113" s="12">
        <v>25</v>
      </c>
      <c r="F113" s="17"/>
    </row>
    <row r="114" spans="3:6" ht="22.5" customHeight="1">
      <c r="C114" s="39">
        <v>46074</v>
      </c>
      <c r="D114" s="12" t="s">
        <v>57</v>
      </c>
      <c r="E114" s="12">
        <v>60</v>
      </c>
      <c r="F114" s="17"/>
    </row>
    <row r="115" spans="3:6" ht="22.5" customHeight="1">
      <c r="C115" s="39">
        <v>46074</v>
      </c>
      <c r="D115" s="12" t="s">
        <v>94</v>
      </c>
      <c r="E115" s="12">
        <v>10</v>
      </c>
      <c r="F115" s="17"/>
    </row>
    <row r="116" spans="3:6" ht="22.5" customHeight="1">
      <c r="C116" s="39">
        <v>46074</v>
      </c>
      <c r="D116" s="12" t="s">
        <v>94</v>
      </c>
      <c r="E116" s="12">
        <v>10</v>
      </c>
      <c r="F116" s="17"/>
    </row>
    <row r="117" spans="3:6" ht="22.5" customHeight="1">
      <c r="C117" s="39">
        <v>46075</v>
      </c>
      <c r="D117" s="12" t="s">
        <v>58</v>
      </c>
      <c r="E117" s="12">
        <v>100</v>
      </c>
      <c r="F117" s="17"/>
    </row>
    <row r="118" spans="3:6" ht="22.5" customHeight="1">
      <c r="C118" s="39">
        <v>46075</v>
      </c>
      <c r="D118" s="12" t="s">
        <v>101</v>
      </c>
      <c r="E118" s="12">
        <v>20</v>
      </c>
      <c r="F118" s="17"/>
    </row>
    <row r="119" spans="3:6" ht="22.5" customHeight="1">
      <c r="C119" s="39">
        <v>46075</v>
      </c>
      <c r="D119" s="12" t="s">
        <v>101</v>
      </c>
      <c r="E119" s="12">
        <v>40</v>
      </c>
      <c r="F119" s="17">
        <v>5961</v>
      </c>
    </row>
    <row r="120" spans="3:6" ht="22.5" customHeight="1">
      <c r="C120" s="39">
        <v>46075</v>
      </c>
      <c r="D120" s="12" t="s">
        <v>15</v>
      </c>
      <c r="E120" s="12">
        <v>15</v>
      </c>
      <c r="F120" s="17"/>
    </row>
    <row r="121" spans="3:6" ht="22.5" customHeight="1">
      <c r="C121" s="39">
        <v>46075</v>
      </c>
      <c r="D121" s="12" t="s">
        <v>95</v>
      </c>
      <c r="E121" s="12">
        <v>10</v>
      </c>
      <c r="F121" s="17"/>
    </row>
    <row r="122" spans="3:6" ht="22.5" customHeight="1">
      <c r="C122" s="39">
        <v>46075</v>
      </c>
      <c r="D122" s="12" t="s">
        <v>57</v>
      </c>
      <c r="E122" s="12">
        <v>60</v>
      </c>
      <c r="F122" s="17"/>
    </row>
    <row r="123" spans="3:6" ht="22.5" customHeight="1">
      <c r="C123" s="39">
        <v>46075</v>
      </c>
      <c r="D123" s="12" t="s">
        <v>94</v>
      </c>
      <c r="E123" s="12">
        <v>20</v>
      </c>
      <c r="F123" s="17"/>
    </row>
    <row r="124" spans="3:6" ht="22.5" customHeight="1">
      <c r="C124" s="39">
        <v>46075</v>
      </c>
      <c r="D124" s="12" t="s">
        <v>58</v>
      </c>
      <c r="E124" s="12">
        <v>20</v>
      </c>
      <c r="F124" s="17">
        <v>6086</v>
      </c>
    </row>
    <row r="125" spans="3:6" ht="22.5" customHeight="1">
      <c r="C125" s="39">
        <v>46076</v>
      </c>
      <c r="D125" s="12" t="s">
        <v>58</v>
      </c>
      <c r="E125" s="12">
        <v>100</v>
      </c>
      <c r="F125" s="17"/>
    </row>
    <row r="126" spans="3:6" ht="22.5" customHeight="1">
      <c r="C126" s="39">
        <v>46076</v>
      </c>
      <c r="D126" s="12" t="s">
        <v>61</v>
      </c>
      <c r="E126" s="12">
        <v>20</v>
      </c>
      <c r="F126" s="17"/>
    </row>
    <row r="127" spans="3:6" ht="22.5" customHeight="1">
      <c r="C127" s="39">
        <v>46076</v>
      </c>
      <c r="D127" s="12" t="s">
        <v>95</v>
      </c>
      <c r="E127" s="12">
        <v>5</v>
      </c>
      <c r="F127" s="17"/>
    </row>
    <row r="128" spans="3:6" ht="22.5" customHeight="1">
      <c r="C128" s="39">
        <v>46076</v>
      </c>
      <c r="D128" s="12" t="s">
        <v>104</v>
      </c>
      <c r="E128" s="12">
        <v>60</v>
      </c>
      <c r="F128" s="17"/>
    </row>
    <row r="129" spans="3:6" ht="22.5" customHeight="1">
      <c r="C129" s="39">
        <v>46076</v>
      </c>
      <c r="D129" s="12" t="s">
        <v>105</v>
      </c>
      <c r="E129" s="12">
        <v>10</v>
      </c>
      <c r="F129" s="17"/>
    </row>
    <row r="130" spans="3:6" ht="22.5" customHeight="1">
      <c r="C130" s="39">
        <v>46076</v>
      </c>
      <c r="D130" s="12" t="s">
        <v>95</v>
      </c>
      <c r="E130" s="12">
        <v>35</v>
      </c>
      <c r="F130" s="17"/>
    </row>
    <row r="131" spans="3:6" ht="22.5" customHeight="1">
      <c r="C131" s="39">
        <v>46076</v>
      </c>
      <c r="D131" s="12" t="s">
        <v>94</v>
      </c>
      <c r="E131" s="12">
        <v>10</v>
      </c>
      <c r="F131" s="17"/>
    </row>
    <row r="132" spans="3:6" ht="22.5" customHeight="1">
      <c r="C132" s="39">
        <v>46077</v>
      </c>
      <c r="D132" s="12" t="s">
        <v>58</v>
      </c>
      <c r="E132" s="12">
        <v>50</v>
      </c>
      <c r="F132" s="17"/>
    </row>
    <row r="133" spans="3:6" ht="22.5" customHeight="1">
      <c r="C133" s="39">
        <v>46077</v>
      </c>
      <c r="D133" s="12" t="s">
        <v>95</v>
      </c>
      <c r="E133" s="12">
        <v>80</v>
      </c>
      <c r="F133" s="17"/>
    </row>
    <row r="134" spans="3:6" ht="22.5" customHeight="1">
      <c r="C134" s="39">
        <v>46077</v>
      </c>
      <c r="D134" s="12" t="s">
        <v>58</v>
      </c>
      <c r="E134" s="12">
        <v>10</v>
      </c>
      <c r="F134" s="17"/>
    </row>
    <row r="135" spans="3:6" ht="22.5" customHeight="1">
      <c r="C135" s="43"/>
      <c r="D135" s="12"/>
      <c r="E135" s="12">
        <v>-6466</v>
      </c>
      <c r="F135" s="17"/>
    </row>
  </sheetData>
  <mergeCells count="22">
    <mergeCell ref="C1:E2"/>
    <mergeCell ref="B24:B26"/>
    <mergeCell ref="F1:F2"/>
    <mergeCell ref="B8:B9"/>
    <mergeCell ref="B4:B6"/>
    <mergeCell ref="B10:B11"/>
    <mergeCell ref="B21:B22"/>
    <mergeCell ref="B39:B45"/>
    <mergeCell ref="B98:B105"/>
    <mergeCell ref="B107:B109"/>
    <mergeCell ref="B27:B38"/>
    <mergeCell ref="B13:B14"/>
    <mergeCell ref="B16:B19"/>
    <mergeCell ref="B48:B56"/>
    <mergeCell ref="B57:B63"/>
    <mergeCell ref="B80:B86"/>
    <mergeCell ref="B64:B65"/>
    <mergeCell ref="B46:B47"/>
    <mergeCell ref="B93:B96"/>
    <mergeCell ref="B66:B72"/>
    <mergeCell ref="B73:B79"/>
    <mergeCell ref="B87:B92"/>
  </mergeCells>
  <conditionalFormatting sqref="E30:E1048576 E1:E9 E11:E25">
    <cfRule type="cellIs" dxfId="35" priority="1" operator="between">
      <formula>100</formula>
      <formula>1000</formula>
    </cfRule>
    <cfRule type="timePeriod" dxfId="34" priority="2" timePeriod="today">
      <formula>FLOOR(E1,1)=TODAY()</formula>
    </cfRule>
    <cfRule type="cellIs" dxfId="33" priority="3" operator="between">
      <formula>100</formula>
      <formula>500</formula>
    </cfRule>
    <cfRule type="colorScale" priority="4">
      <colorScale>
        <cfvo type="min" val="0"/>
        <cfvo type="max" val="0"/>
        <color rgb="FF63BE7B"/>
        <color rgb="FFFFEF9C"/>
      </colorScale>
    </cfRule>
    <cfRule type="top10" dxfId="32" priority="5" percent="1" rank="10"/>
    <cfRule type="dataBar" priority="6">
      <dataBar>
        <cfvo type="min" val="0"/>
        <cfvo type="max" val="0"/>
        <color rgb="FFD6007B"/>
      </dataBar>
    </cfRule>
  </conditionalFormatting>
  <pageMargins left="0.7" right="0.7" top="0.75" bottom="0.75" header="0.3" footer="0.3"/>
  <pageSetup paperSize="9" fitToWidth="0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I181"/>
  <sheetViews>
    <sheetView topLeftCell="A173" workbookViewId="0">
      <selection activeCell="D185" sqref="D185"/>
    </sheetView>
  </sheetViews>
  <sheetFormatPr baseColWidth="10" defaultColWidth="20.5703125" defaultRowHeight="22.5" customHeight="1"/>
  <cols>
    <col min="1" max="2" width="20.5703125" style="2"/>
    <col min="3" max="3" width="20.5703125" style="16"/>
    <col min="4" max="4" width="23.5703125" style="2" customWidth="1"/>
    <col min="5" max="16384" width="20.5703125" style="2"/>
  </cols>
  <sheetData>
    <row r="1" spans="1:9" ht="22.5" customHeight="1">
      <c r="C1" s="52" t="s">
        <v>21</v>
      </c>
      <c r="D1" s="53"/>
      <c r="E1" s="54"/>
      <c r="F1" s="51">
        <v>2</v>
      </c>
    </row>
    <row r="2" spans="1:9" ht="22.5" customHeight="1" thickBot="1">
      <c r="C2" s="55"/>
      <c r="D2" s="56"/>
      <c r="E2" s="57"/>
      <c r="F2" s="51"/>
      <c r="I2" s="14"/>
    </row>
    <row r="3" spans="1:9" ht="22.5" customHeight="1" thickBot="1">
      <c r="C3" s="15" t="s">
        <v>0</v>
      </c>
      <c r="D3" s="8" t="s">
        <v>1</v>
      </c>
      <c r="E3" s="8" t="s">
        <v>2</v>
      </c>
      <c r="F3" s="9" t="s">
        <v>3</v>
      </c>
    </row>
    <row r="4" spans="1:9" ht="22.5" customHeight="1">
      <c r="B4" s="48">
        <f>SUM(E4:E8)</f>
        <v>350</v>
      </c>
      <c r="C4" s="4">
        <v>46078</v>
      </c>
      <c r="D4" s="3" t="s">
        <v>48</v>
      </c>
      <c r="E4" s="3">
        <v>30</v>
      </c>
      <c r="F4" s="18">
        <f>SUM(E4:E181)</f>
        <v>0</v>
      </c>
      <c r="G4" s="2">
        <v>1</v>
      </c>
      <c r="H4" s="2">
        <v>25</v>
      </c>
    </row>
    <row r="5" spans="1:9" ht="22.5" customHeight="1">
      <c r="B5" s="49"/>
      <c r="C5" s="4">
        <v>46078</v>
      </c>
      <c r="D5" s="3" t="s">
        <v>6</v>
      </c>
      <c r="E5" s="3">
        <v>100</v>
      </c>
      <c r="F5" s="6"/>
      <c r="G5" s="2">
        <v>2</v>
      </c>
      <c r="H5" s="2">
        <v>26</v>
      </c>
    </row>
    <row r="6" spans="1:9" ht="22.5" customHeight="1">
      <c r="B6" s="49"/>
      <c r="C6" s="4">
        <v>46078</v>
      </c>
      <c r="D6" s="3" t="s">
        <v>106</v>
      </c>
      <c r="E6" s="3">
        <v>150</v>
      </c>
      <c r="F6" s="6"/>
      <c r="G6" s="2">
        <v>3</v>
      </c>
      <c r="H6" s="2">
        <v>27</v>
      </c>
    </row>
    <row r="7" spans="1:9" ht="22.5" customHeight="1">
      <c r="B7" s="49"/>
      <c r="C7" s="4">
        <v>46078</v>
      </c>
      <c r="D7" s="3" t="s">
        <v>22</v>
      </c>
      <c r="E7" s="3">
        <v>10</v>
      </c>
      <c r="F7" s="6"/>
      <c r="G7" s="2">
        <v>4</v>
      </c>
      <c r="H7" s="2">
        <v>28</v>
      </c>
    </row>
    <row r="8" spans="1:9" ht="22.5" customHeight="1" thickBot="1">
      <c r="B8" s="50"/>
      <c r="C8" s="4">
        <v>46078</v>
      </c>
      <c r="D8" s="3" t="s">
        <v>48</v>
      </c>
      <c r="E8" s="3">
        <v>60</v>
      </c>
      <c r="F8" s="6"/>
      <c r="G8" s="2">
        <v>5</v>
      </c>
      <c r="H8" s="2">
        <v>1</v>
      </c>
    </row>
    <row r="9" spans="1:9" ht="22.5" customHeight="1">
      <c r="B9" s="48">
        <f>SUM(E9:E11)</f>
        <v>60</v>
      </c>
      <c r="C9" s="4">
        <v>46079</v>
      </c>
      <c r="D9" s="3" t="s">
        <v>6</v>
      </c>
      <c r="E9" s="3">
        <v>10</v>
      </c>
      <c r="F9" s="6"/>
      <c r="G9" s="2">
        <v>6</v>
      </c>
      <c r="H9" s="2">
        <v>2</v>
      </c>
    </row>
    <row r="10" spans="1:9" ht="22.5" customHeight="1">
      <c r="B10" s="49"/>
      <c r="C10" s="4">
        <v>46079</v>
      </c>
      <c r="D10" s="3" t="s">
        <v>6</v>
      </c>
      <c r="E10" s="3">
        <v>20</v>
      </c>
      <c r="F10" s="6"/>
      <c r="G10" s="2">
        <v>7</v>
      </c>
      <c r="H10" s="2">
        <v>3</v>
      </c>
    </row>
    <row r="11" spans="1:9" ht="22.5" customHeight="1" thickBot="1">
      <c r="A11" s="14"/>
      <c r="B11" s="50"/>
      <c r="C11" s="4">
        <v>46079</v>
      </c>
      <c r="D11" s="3" t="s">
        <v>107</v>
      </c>
      <c r="E11" s="3">
        <v>30</v>
      </c>
      <c r="F11" s="6"/>
      <c r="G11" s="2">
        <v>8</v>
      </c>
      <c r="H11" s="2">
        <v>4</v>
      </c>
    </row>
    <row r="12" spans="1:9" ht="22.5" customHeight="1" thickBot="1">
      <c r="B12" s="23">
        <f>SUM(E12:E12)</f>
        <v>10</v>
      </c>
      <c r="C12" s="4">
        <v>46080</v>
      </c>
      <c r="D12" s="3" t="s">
        <v>65</v>
      </c>
      <c r="E12" s="3">
        <v>10</v>
      </c>
      <c r="F12" s="6"/>
      <c r="G12" s="2">
        <v>9</v>
      </c>
      <c r="H12" s="2">
        <v>5</v>
      </c>
    </row>
    <row r="13" spans="1:9" ht="22.5" customHeight="1">
      <c r="B13" s="48">
        <f>SUM(E13:E15)</f>
        <v>70</v>
      </c>
      <c r="C13" s="4">
        <v>46081</v>
      </c>
      <c r="D13" s="3" t="s">
        <v>106</v>
      </c>
      <c r="E13" s="3">
        <v>20</v>
      </c>
      <c r="F13" s="6"/>
      <c r="G13" s="2">
        <v>10</v>
      </c>
      <c r="H13" s="2">
        <v>6</v>
      </c>
    </row>
    <row r="14" spans="1:9" ht="22.5" customHeight="1">
      <c r="B14" s="49"/>
      <c r="C14" s="4">
        <v>46081</v>
      </c>
      <c r="D14" s="3" t="s">
        <v>107</v>
      </c>
      <c r="E14" s="3">
        <v>30</v>
      </c>
      <c r="F14" s="6"/>
      <c r="G14" s="2">
        <v>11</v>
      </c>
      <c r="H14" s="2">
        <v>7</v>
      </c>
    </row>
    <row r="15" spans="1:9" ht="22.5" customHeight="1" thickBot="1">
      <c r="B15" s="50"/>
      <c r="C15" s="4">
        <v>46081</v>
      </c>
      <c r="D15" s="12" t="s">
        <v>108</v>
      </c>
      <c r="E15" s="12">
        <v>20</v>
      </c>
      <c r="F15" s="17"/>
      <c r="G15" s="2">
        <v>12</v>
      </c>
      <c r="H15" s="2">
        <v>8</v>
      </c>
    </row>
    <row r="16" spans="1:9" ht="22.5" customHeight="1">
      <c r="B16" s="48">
        <f>SUM(E16:E18)</f>
        <v>140</v>
      </c>
      <c r="C16" s="4">
        <v>46082</v>
      </c>
      <c r="D16" s="12" t="s">
        <v>6</v>
      </c>
      <c r="E16" s="12">
        <v>100</v>
      </c>
      <c r="F16" s="17"/>
      <c r="G16" s="2">
        <v>13</v>
      </c>
      <c r="H16" s="2">
        <v>9</v>
      </c>
    </row>
    <row r="17" spans="2:8" ht="22.5" customHeight="1">
      <c r="B17" s="49"/>
      <c r="C17" s="4">
        <v>46082</v>
      </c>
      <c r="D17" s="12" t="s">
        <v>6</v>
      </c>
      <c r="E17" s="12">
        <v>20</v>
      </c>
      <c r="F17" s="17"/>
      <c r="G17" s="2">
        <v>14</v>
      </c>
      <c r="H17" s="2">
        <v>10</v>
      </c>
    </row>
    <row r="18" spans="2:8" ht="22.5" customHeight="1" thickBot="1">
      <c r="B18" s="49"/>
      <c r="C18" s="4">
        <v>46082</v>
      </c>
      <c r="D18" s="12" t="s">
        <v>25</v>
      </c>
      <c r="E18" s="12">
        <v>20</v>
      </c>
      <c r="F18" s="17"/>
      <c r="G18" s="2">
        <v>15</v>
      </c>
      <c r="H18" s="2">
        <v>11</v>
      </c>
    </row>
    <row r="19" spans="2:8" ht="22.5" customHeight="1">
      <c r="B19" s="48">
        <f>SUM(E19:E24)</f>
        <v>225</v>
      </c>
      <c r="C19" s="4">
        <v>46083</v>
      </c>
      <c r="D19" s="12" t="s">
        <v>109</v>
      </c>
      <c r="E19" s="12">
        <v>30</v>
      </c>
      <c r="F19" s="17"/>
      <c r="G19" s="2">
        <v>16</v>
      </c>
      <c r="H19" s="2">
        <v>12</v>
      </c>
    </row>
    <row r="20" spans="2:8" ht="22.5" customHeight="1">
      <c r="B20" s="49"/>
      <c r="C20" s="4">
        <v>46083</v>
      </c>
      <c r="D20" s="12" t="s">
        <v>48</v>
      </c>
      <c r="E20" s="12">
        <v>60</v>
      </c>
      <c r="F20" s="17"/>
      <c r="G20" s="2">
        <v>17</v>
      </c>
      <c r="H20" s="2">
        <v>13</v>
      </c>
    </row>
    <row r="21" spans="2:8" ht="22.5" customHeight="1">
      <c r="B21" s="49"/>
      <c r="C21" s="4">
        <v>46083</v>
      </c>
      <c r="D21" s="12" t="s">
        <v>6</v>
      </c>
      <c r="E21" s="12">
        <v>100</v>
      </c>
      <c r="F21" s="17"/>
      <c r="G21" s="2">
        <v>18</v>
      </c>
      <c r="H21" s="2">
        <v>14</v>
      </c>
    </row>
    <row r="22" spans="2:8" ht="22.5" customHeight="1">
      <c r="B22" s="49"/>
      <c r="C22" s="4">
        <v>46083</v>
      </c>
      <c r="D22" s="12" t="s">
        <v>5</v>
      </c>
      <c r="E22" s="12">
        <v>10</v>
      </c>
      <c r="F22" s="17"/>
      <c r="G22" s="2">
        <v>19</v>
      </c>
      <c r="H22" s="2">
        <v>15</v>
      </c>
    </row>
    <row r="23" spans="2:8" ht="22.5" customHeight="1">
      <c r="B23" s="49"/>
      <c r="C23" s="4">
        <v>46083</v>
      </c>
      <c r="D23" s="12" t="s">
        <v>108</v>
      </c>
      <c r="E23" s="12">
        <v>15</v>
      </c>
      <c r="F23" s="17"/>
      <c r="G23" s="2">
        <v>20</v>
      </c>
      <c r="H23" s="2">
        <v>16</v>
      </c>
    </row>
    <row r="24" spans="2:8" ht="22.5" customHeight="1" thickBot="1">
      <c r="B24" s="50"/>
      <c r="C24" s="4">
        <v>46083</v>
      </c>
      <c r="D24" s="12" t="s">
        <v>110</v>
      </c>
      <c r="E24" s="12">
        <v>10</v>
      </c>
      <c r="F24" s="17"/>
      <c r="G24" s="2">
        <v>21</v>
      </c>
      <c r="H24" s="2">
        <v>17</v>
      </c>
    </row>
    <row r="25" spans="2:8" ht="22.5" customHeight="1">
      <c r="B25" s="48">
        <f>SUM(E25:E31)</f>
        <v>280</v>
      </c>
      <c r="C25" s="4">
        <v>46084</v>
      </c>
      <c r="D25" s="3" t="s">
        <v>48</v>
      </c>
      <c r="E25" s="3">
        <v>60</v>
      </c>
      <c r="F25" s="17"/>
      <c r="G25" s="2">
        <v>22</v>
      </c>
      <c r="H25" s="2">
        <v>18</v>
      </c>
    </row>
    <row r="26" spans="2:8" ht="22.5" customHeight="1">
      <c r="B26" s="49"/>
      <c r="C26" s="4">
        <v>46084</v>
      </c>
      <c r="D26" s="3" t="s">
        <v>109</v>
      </c>
      <c r="E26" s="3">
        <v>30</v>
      </c>
      <c r="F26" s="17"/>
      <c r="G26" s="2">
        <v>23</v>
      </c>
      <c r="H26" s="2">
        <v>19</v>
      </c>
    </row>
    <row r="27" spans="2:8" ht="22.5" customHeight="1">
      <c r="B27" s="49"/>
      <c r="C27" s="4">
        <v>46084</v>
      </c>
      <c r="D27" s="3" t="s">
        <v>106</v>
      </c>
      <c r="E27" s="3">
        <v>20</v>
      </c>
      <c r="F27" s="17"/>
      <c r="G27" s="2">
        <v>24</v>
      </c>
      <c r="H27" s="2">
        <v>20</v>
      </c>
    </row>
    <row r="28" spans="2:8" ht="22.5" customHeight="1">
      <c r="B28" s="49"/>
      <c r="C28" s="4">
        <v>46084</v>
      </c>
      <c r="D28" s="3" t="s">
        <v>6</v>
      </c>
      <c r="E28" s="3">
        <v>100</v>
      </c>
      <c r="F28" s="17"/>
      <c r="G28" s="2">
        <v>25</v>
      </c>
      <c r="H28" s="2">
        <v>21</v>
      </c>
    </row>
    <row r="29" spans="2:8" ht="22.5" customHeight="1">
      <c r="B29" s="49"/>
      <c r="C29" s="4">
        <v>46084</v>
      </c>
      <c r="D29" s="12" t="s">
        <v>107</v>
      </c>
      <c r="E29" s="12">
        <v>30</v>
      </c>
      <c r="F29" s="17"/>
      <c r="G29" s="2">
        <v>26</v>
      </c>
      <c r="H29" s="2">
        <v>22</v>
      </c>
    </row>
    <row r="30" spans="2:8" ht="22.5" customHeight="1">
      <c r="B30" s="49"/>
      <c r="C30" s="4">
        <v>46084</v>
      </c>
      <c r="D30" s="12" t="s">
        <v>76</v>
      </c>
      <c r="E30" s="12">
        <v>10</v>
      </c>
      <c r="F30" s="17"/>
      <c r="G30" s="2">
        <v>27</v>
      </c>
      <c r="H30" s="2">
        <v>23</v>
      </c>
    </row>
    <row r="31" spans="2:8" ht="22.5" customHeight="1">
      <c r="B31" s="49"/>
      <c r="C31" s="4">
        <v>46084</v>
      </c>
      <c r="D31" s="12" t="s">
        <v>107</v>
      </c>
      <c r="E31" s="12">
        <v>30</v>
      </c>
      <c r="F31" s="17"/>
      <c r="G31" s="2">
        <v>28</v>
      </c>
      <c r="H31" s="2">
        <v>24</v>
      </c>
    </row>
    <row r="32" spans="2:8" ht="22.5" customHeight="1">
      <c r="B32" s="49"/>
      <c r="C32" s="4">
        <v>46085</v>
      </c>
      <c r="D32" s="12" t="s">
        <v>6</v>
      </c>
      <c r="E32" s="12">
        <v>100</v>
      </c>
      <c r="F32" s="17"/>
    </row>
    <row r="33" spans="2:6" ht="22.5" customHeight="1">
      <c r="B33" s="49"/>
      <c r="C33" s="4">
        <v>46085</v>
      </c>
      <c r="D33" s="12" t="s">
        <v>5</v>
      </c>
      <c r="E33" s="12">
        <v>80</v>
      </c>
      <c r="F33" s="17"/>
    </row>
    <row r="34" spans="2:6" ht="22.5" customHeight="1">
      <c r="B34" s="49"/>
      <c r="C34" s="4">
        <v>46085</v>
      </c>
      <c r="D34" s="12" t="s">
        <v>48</v>
      </c>
      <c r="E34" s="12">
        <v>30</v>
      </c>
      <c r="F34" s="17"/>
    </row>
    <row r="35" spans="2:6" ht="22.5" customHeight="1">
      <c r="B35" s="45"/>
      <c r="C35" s="4">
        <v>46086</v>
      </c>
      <c r="D35" s="12" t="s">
        <v>6</v>
      </c>
      <c r="E35" s="12">
        <v>100</v>
      </c>
      <c r="F35" s="17">
        <v>1445</v>
      </c>
    </row>
    <row r="36" spans="2:6" ht="22.5" customHeight="1">
      <c r="B36" s="45"/>
      <c r="C36" s="4">
        <v>46086</v>
      </c>
      <c r="D36" s="12" t="s">
        <v>6</v>
      </c>
      <c r="E36" s="12">
        <v>20</v>
      </c>
      <c r="F36" s="17"/>
    </row>
    <row r="37" spans="2:6" ht="22.5" customHeight="1" thickBot="1">
      <c r="B37" s="44"/>
      <c r="C37" s="4">
        <v>46086</v>
      </c>
      <c r="D37" s="12" t="s">
        <v>111</v>
      </c>
      <c r="E37" s="12">
        <v>40</v>
      </c>
      <c r="F37" s="17"/>
    </row>
    <row r="38" spans="2:6" ht="22.5" customHeight="1">
      <c r="B38" s="46">
        <f>SUM(E38:E44)</f>
        <v>325</v>
      </c>
      <c r="C38" s="4">
        <v>46086</v>
      </c>
      <c r="D38" s="12" t="s">
        <v>107</v>
      </c>
      <c r="E38" s="12">
        <v>30</v>
      </c>
      <c r="F38" s="17"/>
    </row>
    <row r="39" spans="2:6" ht="22.5" customHeight="1">
      <c r="B39" s="45"/>
      <c r="C39" s="4">
        <v>46086</v>
      </c>
      <c r="D39" s="12" t="s">
        <v>108</v>
      </c>
      <c r="E39" s="12">
        <v>20</v>
      </c>
      <c r="F39" s="17"/>
    </row>
    <row r="40" spans="2:6" ht="22.5" customHeight="1">
      <c r="B40" s="45"/>
      <c r="C40" s="4">
        <v>46086</v>
      </c>
      <c r="D40" s="12" t="s">
        <v>65</v>
      </c>
      <c r="E40" s="12">
        <v>120</v>
      </c>
      <c r="F40" s="17"/>
    </row>
    <row r="41" spans="2:6" ht="22.5" customHeight="1">
      <c r="B41" s="45"/>
      <c r="C41" s="4">
        <v>46086</v>
      </c>
      <c r="D41" s="12" t="s">
        <v>43</v>
      </c>
      <c r="E41" s="12">
        <v>20</v>
      </c>
      <c r="F41" s="17"/>
    </row>
    <row r="42" spans="2:6" ht="22.5" customHeight="1">
      <c r="B42" s="45"/>
      <c r="C42" s="4">
        <v>46087</v>
      </c>
      <c r="D42" s="12" t="s">
        <v>112</v>
      </c>
      <c r="E42" s="12">
        <v>15</v>
      </c>
      <c r="F42" s="17"/>
    </row>
    <row r="43" spans="2:6" ht="22.5" customHeight="1">
      <c r="B43" s="45"/>
      <c r="C43" s="4">
        <v>46087</v>
      </c>
      <c r="D43" s="12" t="s">
        <v>6</v>
      </c>
      <c r="E43" s="12">
        <v>100</v>
      </c>
      <c r="F43" s="17"/>
    </row>
    <row r="44" spans="2:6" ht="22.5" customHeight="1" thickBot="1">
      <c r="B44" s="44"/>
      <c r="C44" s="4">
        <v>46087</v>
      </c>
      <c r="D44" s="12" t="s">
        <v>108</v>
      </c>
      <c r="E44" s="12">
        <v>20</v>
      </c>
      <c r="F44" s="17"/>
    </row>
    <row r="45" spans="2:6" ht="22.5" customHeight="1">
      <c r="B45" s="48">
        <f>SUM(E45:E46)</f>
        <v>30</v>
      </c>
      <c r="C45" s="4">
        <v>46087</v>
      </c>
      <c r="D45" s="12" t="s">
        <v>6</v>
      </c>
      <c r="E45" s="12">
        <v>10</v>
      </c>
      <c r="F45" s="17"/>
    </row>
    <row r="46" spans="2:6" ht="22.5" customHeight="1" thickBot="1">
      <c r="B46" s="50"/>
      <c r="C46" s="4">
        <v>46087</v>
      </c>
      <c r="D46" s="12" t="s">
        <v>6</v>
      </c>
      <c r="E46" s="12">
        <v>20</v>
      </c>
      <c r="F46" s="17"/>
    </row>
    <row r="47" spans="2:6" ht="22.5" customHeight="1">
      <c r="B47" s="48">
        <f>SUM(E47:E55)</f>
        <v>244</v>
      </c>
      <c r="C47" s="4">
        <v>46087</v>
      </c>
      <c r="D47" s="12" t="s">
        <v>43</v>
      </c>
      <c r="E47" s="12">
        <v>20</v>
      </c>
      <c r="F47" s="17"/>
    </row>
    <row r="48" spans="2:6" ht="22.5" customHeight="1">
      <c r="B48" s="49"/>
      <c r="C48" s="4">
        <v>46088</v>
      </c>
      <c r="D48" s="12" t="s">
        <v>48</v>
      </c>
      <c r="E48" s="12">
        <v>30</v>
      </c>
      <c r="F48" s="17"/>
    </row>
    <row r="49" spans="2:6" ht="22.5" customHeight="1">
      <c r="B49" s="49"/>
      <c r="C49" s="4">
        <v>46088</v>
      </c>
      <c r="D49" s="12" t="s">
        <v>6</v>
      </c>
      <c r="E49" s="12">
        <v>100</v>
      </c>
      <c r="F49" s="17"/>
    </row>
    <row r="50" spans="2:6" ht="22.5" customHeight="1">
      <c r="B50" s="49"/>
      <c r="C50" s="4">
        <v>46088</v>
      </c>
      <c r="D50" s="12" t="s">
        <v>106</v>
      </c>
      <c r="E50" s="12">
        <v>4</v>
      </c>
      <c r="F50" s="17"/>
    </row>
    <row r="51" spans="2:6" ht="22.5" customHeight="1">
      <c r="B51" s="49"/>
      <c r="C51" s="4">
        <v>46088</v>
      </c>
      <c r="D51" s="12" t="s">
        <v>113</v>
      </c>
      <c r="E51" s="12">
        <v>10</v>
      </c>
      <c r="F51" s="17"/>
    </row>
    <row r="52" spans="2:6" ht="22.5" customHeight="1">
      <c r="B52" s="49"/>
      <c r="C52" s="4">
        <v>46088</v>
      </c>
      <c r="D52" s="12" t="s">
        <v>111</v>
      </c>
      <c r="E52" s="12">
        <v>20</v>
      </c>
      <c r="F52" s="17"/>
    </row>
    <row r="53" spans="2:6" ht="22.5" customHeight="1">
      <c r="B53" s="49"/>
      <c r="C53" s="4">
        <v>46088</v>
      </c>
      <c r="D53" s="12" t="s">
        <v>5</v>
      </c>
      <c r="E53" s="12">
        <v>10</v>
      </c>
      <c r="F53" s="17"/>
    </row>
    <row r="54" spans="2:6" ht="22.5" customHeight="1">
      <c r="B54" s="49"/>
      <c r="C54" s="4">
        <v>46088</v>
      </c>
      <c r="D54" s="12" t="s">
        <v>6</v>
      </c>
      <c r="E54" s="12">
        <v>20</v>
      </c>
      <c r="F54" s="17"/>
    </row>
    <row r="55" spans="2:6" ht="22.5" customHeight="1" thickBot="1">
      <c r="B55" s="50"/>
      <c r="C55" s="4">
        <v>46089</v>
      </c>
      <c r="D55" s="12" t="s">
        <v>48</v>
      </c>
      <c r="E55" s="12">
        <v>30</v>
      </c>
      <c r="F55" s="17"/>
    </row>
    <row r="56" spans="2:6" ht="22.5" customHeight="1">
      <c r="B56" s="60">
        <f>SUM(E56:E62)</f>
        <v>360</v>
      </c>
      <c r="C56" s="4">
        <v>46089</v>
      </c>
      <c r="D56" s="12" t="s">
        <v>5</v>
      </c>
      <c r="E56" s="12">
        <v>5</v>
      </c>
      <c r="F56" s="17"/>
    </row>
    <row r="57" spans="2:6" ht="22.5" customHeight="1">
      <c r="B57" s="62"/>
      <c r="C57" s="4">
        <v>46089</v>
      </c>
      <c r="D57" s="12" t="s">
        <v>6</v>
      </c>
      <c r="E57" s="12">
        <v>100</v>
      </c>
      <c r="F57" s="17">
        <v>2209</v>
      </c>
    </row>
    <row r="58" spans="2:6" ht="22.5" customHeight="1">
      <c r="B58" s="62"/>
      <c r="C58" s="4">
        <v>46089</v>
      </c>
      <c r="D58" s="12" t="s">
        <v>107</v>
      </c>
      <c r="E58" s="12">
        <v>30</v>
      </c>
      <c r="F58" s="17"/>
    </row>
    <row r="59" spans="2:6" ht="22.5" customHeight="1">
      <c r="B59" s="62"/>
      <c r="C59" s="4">
        <v>46089</v>
      </c>
      <c r="D59" s="12" t="s">
        <v>5</v>
      </c>
      <c r="E59" s="12">
        <v>5</v>
      </c>
      <c r="F59" s="17"/>
    </row>
    <row r="60" spans="2:6" ht="22.5" customHeight="1">
      <c r="B60" s="62"/>
      <c r="C60" s="4">
        <v>46089</v>
      </c>
      <c r="D60" s="12" t="s">
        <v>108</v>
      </c>
      <c r="E60" s="12">
        <v>15</v>
      </c>
      <c r="F60" s="17"/>
    </row>
    <row r="61" spans="2:6" ht="22.5" customHeight="1">
      <c r="B61" s="62"/>
      <c r="C61" s="4">
        <v>46090</v>
      </c>
      <c r="D61" s="12" t="s">
        <v>114</v>
      </c>
      <c r="E61" s="12">
        <v>180</v>
      </c>
      <c r="F61" s="17"/>
    </row>
    <row r="62" spans="2:6" ht="22.5" customHeight="1">
      <c r="B62" s="62"/>
      <c r="C62" s="4">
        <v>46090</v>
      </c>
      <c r="D62" s="12" t="s">
        <v>61</v>
      </c>
      <c r="E62" s="12">
        <v>25</v>
      </c>
      <c r="F62" s="17"/>
    </row>
    <row r="63" spans="2:6" ht="22.5" customHeight="1">
      <c r="B63" s="62">
        <f>SUM(E63:E64)</f>
        <v>80</v>
      </c>
      <c r="C63" s="4">
        <v>46090</v>
      </c>
      <c r="D63" s="12" t="s">
        <v>6</v>
      </c>
      <c r="E63" s="12">
        <v>50</v>
      </c>
      <c r="F63" s="17"/>
    </row>
    <row r="64" spans="2:6" ht="22.5" customHeight="1">
      <c r="B64" s="62"/>
      <c r="C64" s="4">
        <v>46090</v>
      </c>
      <c r="D64" s="12" t="s">
        <v>101</v>
      </c>
      <c r="E64" s="12">
        <v>30</v>
      </c>
      <c r="F64" s="17"/>
    </row>
    <row r="65" spans="2:6" ht="22.5" customHeight="1">
      <c r="B65" s="62">
        <f>SUM(E65:E71)</f>
        <v>1025</v>
      </c>
      <c r="C65" s="4">
        <v>46090</v>
      </c>
      <c r="D65" s="12" t="s">
        <v>15</v>
      </c>
      <c r="E65" s="12">
        <v>15</v>
      </c>
      <c r="F65" s="17"/>
    </row>
    <row r="66" spans="2:6" ht="22.5" customHeight="1">
      <c r="B66" s="62"/>
      <c r="C66" s="4">
        <v>46090</v>
      </c>
      <c r="D66" s="12" t="s">
        <v>110</v>
      </c>
      <c r="E66" s="12">
        <v>10</v>
      </c>
      <c r="F66" s="17"/>
    </row>
    <row r="67" spans="2:6" ht="22.5" customHeight="1">
      <c r="B67" s="62"/>
      <c r="C67" s="4">
        <v>46090</v>
      </c>
      <c r="D67" s="12" t="s">
        <v>87</v>
      </c>
      <c r="E67" s="12">
        <v>320</v>
      </c>
      <c r="F67" s="17"/>
    </row>
    <row r="68" spans="2:6" ht="22.5" customHeight="1">
      <c r="B68" s="62"/>
      <c r="C68" s="4">
        <v>46090</v>
      </c>
      <c r="D68" s="12" t="s">
        <v>81</v>
      </c>
      <c r="E68" s="12">
        <v>20</v>
      </c>
      <c r="F68" s="17"/>
    </row>
    <row r="69" spans="2:6" ht="22.5" customHeight="1">
      <c r="B69" s="62"/>
      <c r="C69" s="4">
        <v>46091</v>
      </c>
      <c r="D69" s="12" t="s">
        <v>48</v>
      </c>
      <c r="E69" s="12">
        <v>30</v>
      </c>
      <c r="F69" s="17"/>
    </row>
    <row r="70" spans="2:6" ht="22.5" customHeight="1">
      <c r="B70" s="62"/>
      <c r="C70" s="4">
        <v>46091</v>
      </c>
      <c r="D70" s="12" t="s">
        <v>108</v>
      </c>
      <c r="E70" s="12">
        <v>15</v>
      </c>
      <c r="F70" s="17"/>
    </row>
    <row r="71" spans="2:6" ht="22.5" customHeight="1">
      <c r="B71" s="62"/>
      <c r="C71" s="4" t="s">
        <v>116</v>
      </c>
      <c r="D71" s="12" t="s">
        <v>115</v>
      </c>
      <c r="E71" s="12">
        <v>615</v>
      </c>
      <c r="F71" s="17"/>
    </row>
    <row r="72" spans="2:6" ht="22.5" customHeight="1">
      <c r="B72" s="62">
        <f>SUM(E72:E78)</f>
        <v>205</v>
      </c>
      <c r="C72" s="4">
        <v>46094</v>
      </c>
      <c r="D72" s="12" t="s">
        <v>108</v>
      </c>
      <c r="E72" s="12">
        <v>20</v>
      </c>
      <c r="F72" s="17"/>
    </row>
    <row r="73" spans="2:6" ht="22.5" customHeight="1">
      <c r="B73" s="62"/>
      <c r="C73" s="4">
        <v>46094</v>
      </c>
      <c r="D73" s="12" t="s">
        <v>43</v>
      </c>
      <c r="E73" s="12">
        <v>20</v>
      </c>
      <c r="F73" s="17"/>
    </row>
    <row r="74" spans="2:6" ht="22.5" customHeight="1">
      <c r="B74" s="62"/>
      <c r="C74" s="4">
        <v>46094</v>
      </c>
      <c r="D74" s="12" t="s">
        <v>5</v>
      </c>
      <c r="E74" s="12">
        <v>80</v>
      </c>
      <c r="F74" s="17"/>
    </row>
    <row r="75" spans="2:6" ht="22.5" customHeight="1">
      <c r="B75" s="62"/>
      <c r="C75" s="4">
        <v>46094</v>
      </c>
      <c r="D75" s="12" t="s">
        <v>6</v>
      </c>
      <c r="E75" s="12">
        <v>30</v>
      </c>
      <c r="F75" s="17">
        <v>3719</v>
      </c>
    </row>
    <row r="76" spans="2:6" ht="22.5" customHeight="1">
      <c r="B76" s="62"/>
      <c r="C76" s="4">
        <v>46095</v>
      </c>
      <c r="D76" s="12" t="s">
        <v>48</v>
      </c>
      <c r="E76" s="12">
        <v>30</v>
      </c>
      <c r="F76" s="17"/>
    </row>
    <row r="77" spans="2:6" ht="22.5" customHeight="1">
      <c r="B77" s="62"/>
      <c r="C77" s="4">
        <v>46095</v>
      </c>
      <c r="D77" s="12" t="s">
        <v>76</v>
      </c>
      <c r="E77" s="12">
        <v>20</v>
      </c>
      <c r="F77" s="17"/>
    </row>
    <row r="78" spans="2:6" ht="22.5" customHeight="1">
      <c r="B78" s="62"/>
      <c r="C78" s="4">
        <v>46095</v>
      </c>
      <c r="D78" s="12" t="s">
        <v>117</v>
      </c>
      <c r="E78" s="12">
        <v>5</v>
      </c>
      <c r="F78" s="17"/>
    </row>
    <row r="79" spans="2:6" ht="22.5" customHeight="1">
      <c r="B79" s="62">
        <f>SUM(E79:E85)</f>
        <v>210</v>
      </c>
      <c r="C79" s="4">
        <v>46095</v>
      </c>
      <c r="D79" s="12" t="s">
        <v>6</v>
      </c>
      <c r="E79" s="12">
        <v>10</v>
      </c>
      <c r="F79" s="17"/>
    </row>
    <row r="80" spans="2:6" ht="22.5" customHeight="1">
      <c r="B80" s="62"/>
      <c r="C80" s="4">
        <v>46095</v>
      </c>
      <c r="D80" s="12" t="s">
        <v>15</v>
      </c>
      <c r="E80" s="12">
        <v>15</v>
      </c>
      <c r="F80" s="17"/>
    </row>
    <row r="81" spans="2:6" ht="22.5" customHeight="1">
      <c r="B81" s="62"/>
      <c r="C81" s="4">
        <v>46095</v>
      </c>
      <c r="D81" s="12" t="s">
        <v>118</v>
      </c>
      <c r="E81" s="12">
        <v>110</v>
      </c>
      <c r="F81" s="17"/>
    </row>
    <row r="82" spans="2:6" ht="22.5" customHeight="1">
      <c r="B82" s="62"/>
      <c r="C82" s="4">
        <v>46095</v>
      </c>
      <c r="D82" s="12">
        <v>30</v>
      </c>
      <c r="E82" s="12">
        <v>30</v>
      </c>
      <c r="F82" s="17"/>
    </row>
    <row r="83" spans="2:6" ht="22.5" customHeight="1">
      <c r="B83" s="62"/>
      <c r="C83" s="4">
        <v>46096</v>
      </c>
      <c r="D83" s="12" t="s">
        <v>5</v>
      </c>
      <c r="E83" s="12">
        <v>10</v>
      </c>
      <c r="F83" s="17"/>
    </row>
    <row r="84" spans="2:6" ht="22.5" customHeight="1">
      <c r="B84" s="62"/>
      <c r="C84" s="4">
        <v>46096</v>
      </c>
      <c r="D84" s="12" t="s">
        <v>6</v>
      </c>
      <c r="E84" s="12">
        <v>20</v>
      </c>
      <c r="F84" s="17"/>
    </row>
    <row r="85" spans="2:6" ht="22.5" customHeight="1">
      <c r="B85" s="62"/>
      <c r="C85" s="4">
        <v>46096</v>
      </c>
      <c r="D85" s="12" t="s">
        <v>15</v>
      </c>
      <c r="E85" s="12">
        <v>15</v>
      </c>
      <c r="F85" s="17"/>
    </row>
    <row r="86" spans="2:6" ht="22.5" customHeight="1">
      <c r="B86" s="62">
        <f>SUM(E86:E91)</f>
        <v>125</v>
      </c>
      <c r="C86" s="4">
        <v>46096</v>
      </c>
      <c r="D86" s="12" t="s">
        <v>65</v>
      </c>
      <c r="E86" s="12">
        <v>10</v>
      </c>
      <c r="F86" s="17"/>
    </row>
    <row r="87" spans="2:6" ht="22.5" customHeight="1">
      <c r="B87" s="62"/>
      <c r="C87" s="4">
        <v>46096</v>
      </c>
      <c r="D87" s="12" t="s">
        <v>5</v>
      </c>
      <c r="E87" s="12">
        <v>10</v>
      </c>
      <c r="F87" s="17"/>
    </row>
    <row r="88" spans="2:6" ht="22.5" customHeight="1">
      <c r="B88" s="62"/>
      <c r="C88" s="4">
        <v>46097</v>
      </c>
      <c r="D88" s="12" t="s">
        <v>48</v>
      </c>
      <c r="E88" s="12">
        <v>60</v>
      </c>
      <c r="F88" s="17"/>
    </row>
    <row r="89" spans="2:6" ht="22.5" customHeight="1">
      <c r="B89" s="62"/>
      <c r="C89" s="4">
        <v>46097</v>
      </c>
      <c r="D89" s="12" t="s">
        <v>65</v>
      </c>
      <c r="E89" s="12">
        <v>20</v>
      </c>
      <c r="F89" s="17"/>
    </row>
    <row r="90" spans="2:6" ht="22.5" customHeight="1">
      <c r="B90" s="62"/>
      <c r="C90" s="4">
        <v>46097</v>
      </c>
      <c r="D90" s="12" t="s">
        <v>15</v>
      </c>
      <c r="E90" s="12">
        <v>15</v>
      </c>
      <c r="F90" s="17"/>
    </row>
    <row r="91" spans="2:6" ht="22.5" customHeight="1">
      <c r="B91" s="62"/>
      <c r="C91" s="4">
        <v>46097</v>
      </c>
      <c r="D91" s="12" t="s">
        <v>76</v>
      </c>
      <c r="E91" s="12">
        <v>10</v>
      </c>
      <c r="F91" s="17"/>
    </row>
    <row r="92" spans="2:6" ht="22.5" customHeight="1">
      <c r="B92" s="62">
        <f>SUM(E92:E95)</f>
        <v>95</v>
      </c>
      <c r="C92" s="4">
        <v>46097</v>
      </c>
      <c r="D92" s="12" t="s">
        <v>101</v>
      </c>
      <c r="E92" s="12">
        <v>40</v>
      </c>
      <c r="F92" s="17"/>
    </row>
    <row r="93" spans="2:6" ht="22.5" customHeight="1">
      <c r="B93" s="62"/>
      <c r="C93" s="4">
        <v>46097</v>
      </c>
      <c r="D93" s="12" t="s">
        <v>110</v>
      </c>
      <c r="E93" s="12">
        <v>10</v>
      </c>
      <c r="F93" s="17"/>
    </row>
    <row r="94" spans="2:6" ht="22.5" customHeight="1">
      <c r="B94" s="62"/>
      <c r="C94" s="4">
        <v>46097</v>
      </c>
      <c r="D94" s="12" t="s">
        <v>15</v>
      </c>
      <c r="E94" s="12">
        <v>15</v>
      </c>
      <c r="F94" s="17"/>
    </row>
    <row r="95" spans="2:6" ht="22.5" customHeight="1">
      <c r="B95" s="62"/>
      <c r="C95" s="4">
        <v>46097</v>
      </c>
      <c r="D95" s="12" t="s">
        <v>107</v>
      </c>
      <c r="E95" s="12">
        <v>30</v>
      </c>
      <c r="F95" s="17"/>
    </row>
    <row r="96" spans="2:6" ht="22.5" customHeight="1">
      <c r="B96" s="42">
        <f>SUM(Tableau1345678[[#This Row],[PRIX]])</f>
        <v>10</v>
      </c>
      <c r="C96" s="4">
        <v>46097</v>
      </c>
      <c r="D96" s="12" t="s">
        <v>5</v>
      </c>
      <c r="E96" s="12">
        <v>10</v>
      </c>
      <c r="F96" s="17"/>
    </row>
    <row r="97" spans="2:6" ht="22.5" customHeight="1">
      <c r="B97" s="62">
        <f>SUM(E97:E104)</f>
        <v>265</v>
      </c>
      <c r="C97" s="4">
        <v>46098</v>
      </c>
      <c r="D97" s="12" t="s">
        <v>48</v>
      </c>
      <c r="E97" s="12">
        <v>30</v>
      </c>
      <c r="F97" s="17"/>
    </row>
    <row r="98" spans="2:6" ht="22.5" customHeight="1">
      <c r="B98" s="62"/>
      <c r="C98" s="4">
        <v>46098</v>
      </c>
      <c r="D98" s="12" t="s">
        <v>48</v>
      </c>
      <c r="E98" s="12">
        <v>30</v>
      </c>
      <c r="F98" s="17"/>
    </row>
    <row r="99" spans="2:6" ht="22.5" customHeight="1">
      <c r="B99" s="62"/>
      <c r="C99" s="4">
        <v>46098</v>
      </c>
      <c r="D99" s="12" t="s">
        <v>15</v>
      </c>
      <c r="E99" s="12">
        <v>15</v>
      </c>
      <c r="F99" s="17"/>
    </row>
    <row r="100" spans="2:6" ht="22.5" customHeight="1">
      <c r="B100" s="62"/>
      <c r="C100" s="4">
        <v>46098</v>
      </c>
      <c r="D100" s="12" t="s">
        <v>108</v>
      </c>
      <c r="E100" s="12">
        <v>15</v>
      </c>
      <c r="F100" s="17"/>
    </row>
    <row r="101" spans="2:6" ht="22.5" customHeight="1">
      <c r="B101" s="62"/>
      <c r="C101" s="4">
        <v>46098</v>
      </c>
      <c r="D101" s="12" t="s">
        <v>76</v>
      </c>
      <c r="E101" s="12">
        <v>25</v>
      </c>
      <c r="F101" s="17"/>
    </row>
    <row r="102" spans="2:6" ht="22.5" customHeight="1">
      <c r="B102" s="62"/>
      <c r="C102" s="4">
        <v>46098</v>
      </c>
      <c r="D102" s="12" t="s">
        <v>5</v>
      </c>
      <c r="E102" s="12">
        <v>10</v>
      </c>
      <c r="F102" s="17"/>
    </row>
    <row r="103" spans="2:6" ht="22.5" customHeight="1">
      <c r="B103" s="62"/>
      <c r="C103" s="4">
        <v>46098</v>
      </c>
      <c r="D103" s="12" t="s">
        <v>65</v>
      </c>
      <c r="E103" s="12">
        <v>120</v>
      </c>
      <c r="F103" s="17"/>
    </row>
    <row r="104" spans="2:6" ht="22.5" customHeight="1">
      <c r="B104" s="62"/>
      <c r="C104" s="4">
        <v>46099</v>
      </c>
      <c r="D104" s="12" t="s">
        <v>65</v>
      </c>
      <c r="E104" s="12">
        <v>20</v>
      </c>
      <c r="F104" s="17"/>
    </row>
    <row r="105" spans="2:6" ht="22.5" customHeight="1">
      <c r="B105" s="42">
        <f>SUM(Tableau1345678[[#This Row],[PRIX]])</f>
        <v>100</v>
      </c>
      <c r="C105" s="4">
        <v>46099</v>
      </c>
      <c r="D105" s="12" t="s">
        <v>6</v>
      </c>
      <c r="E105" s="12">
        <v>100</v>
      </c>
      <c r="F105" s="17"/>
    </row>
    <row r="106" spans="2:6" ht="22.5" customHeight="1">
      <c r="B106" s="62">
        <f>SUM(E106:E108)</f>
        <v>35</v>
      </c>
      <c r="C106" s="4">
        <v>46099</v>
      </c>
      <c r="D106" s="12" t="s">
        <v>117</v>
      </c>
      <c r="E106" s="12">
        <v>5</v>
      </c>
      <c r="F106" s="17"/>
    </row>
    <row r="107" spans="2:6" ht="22.5" customHeight="1">
      <c r="B107" s="62"/>
      <c r="C107" s="4">
        <v>46099</v>
      </c>
      <c r="D107" s="12" t="s">
        <v>5</v>
      </c>
      <c r="E107" s="12">
        <v>10</v>
      </c>
      <c r="F107" s="17"/>
    </row>
    <row r="108" spans="2:6" ht="22.5" customHeight="1">
      <c r="B108" s="62"/>
      <c r="C108" s="4">
        <v>46100</v>
      </c>
      <c r="D108" s="12" t="s">
        <v>119</v>
      </c>
      <c r="E108" s="12">
        <v>20</v>
      </c>
      <c r="F108" s="17"/>
    </row>
    <row r="109" spans="2:6" ht="22.5" customHeight="1">
      <c r="C109" s="4">
        <v>46100</v>
      </c>
      <c r="D109" s="12" t="s">
        <v>120</v>
      </c>
      <c r="E109" s="12">
        <v>15</v>
      </c>
      <c r="F109" s="17"/>
    </row>
    <row r="110" spans="2:6" ht="22.5" customHeight="1">
      <c r="C110" s="4">
        <v>46100</v>
      </c>
      <c r="D110" s="12" t="s">
        <v>101</v>
      </c>
      <c r="E110" s="12">
        <v>50</v>
      </c>
      <c r="F110" s="17"/>
    </row>
    <row r="111" spans="2:6" ht="22.5" customHeight="1">
      <c r="C111" s="4">
        <v>46100</v>
      </c>
      <c r="D111" s="12" t="s">
        <v>101</v>
      </c>
      <c r="E111" s="12">
        <v>40</v>
      </c>
      <c r="F111" s="17"/>
    </row>
    <row r="112" spans="2:6" ht="22.5" customHeight="1">
      <c r="C112" s="4">
        <v>46100</v>
      </c>
      <c r="D112" s="12" t="s">
        <v>118</v>
      </c>
      <c r="E112" s="12">
        <v>20</v>
      </c>
      <c r="F112" s="17"/>
    </row>
    <row r="113" spans="3:6" ht="22.5" customHeight="1">
      <c r="C113" s="4">
        <v>46100</v>
      </c>
      <c r="D113" s="12" t="s">
        <v>110</v>
      </c>
      <c r="E113" s="12">
        <v>10</v>
      </c>
      <c r="F113" s="17"/>
    </row>
    <row r="114" spans="3:6" ht="22.5" customHeight="1">
      <c r="C114" s="4">
        <v>46100</v>
      </c>
      <c r="D114" s="12" t="s">
        <v>118</v>
      </c>
      <c r="E114" s="12">
        <v>10</v>
      </c>
      <c r="F114" s="17"/>
    </row>
    <row r="115" spans="3:6" ht="22.5" customHeight="1">
      <c r="C115" s="4">
        <v>46100</v>
      </c>
      <c r="D115" s="12" t="s">
        <v>107</v>
      </c>
      <c r="E115" s="12">
        <v>60</v>
      </c>
      <c r="F115" s="17"/>
    </row>
    <row r="116" spans="3:6" ht="22.5" customHeight="1">
      <c r="C116" s="4">
        <v>46100</v>
      </c>
      <c r="D116" s="12" t="s">
        <v>65</v>
      </c>
      <c r="E116" s="12">
        <v>30</v>
      </c>
      <c r="F116" s="17"/>
    </row>
    <row r="117" spans="3:6" ht="22.5" customHeight="1">
      <c r="C117" s="4">
        <v>46100</v>
      </c>
      <c r="D117" s="12" t="s">
        <v>15</v>
      </c>
      <c r="E117" s="12">
        <v>15</v>
      </c>
      <c r="F117" s="17"/>
    </row>
    <row r="118" spans="3:6" ht="22.5" customHeight="1">
      <c r="C118" s="4">
        <v>46100</v>
      </c>
      <c r="D118" s="12" t="s">
        <v>106</v>
      </c>
      <c r="E118" s="12">
        <v>5</v>
      </c>
      <c r="F118" s="17"/>
    </row>
    <row r="119" spans="3:6" ht="22.5" customHeight="1">
      <c r="C119" s="4">
        <v>46101</v>
      </c>
      <c r="D119" s="12" t="s">
        <v>108</v>
      </c>
      <c r="E119" s="12">
        <v>33</v>
      </c>
      <c r="F119" s="17"/>
    </row>
    <row r="120" spans="3:6" ht="22.5" customHeight="1">
      <c r="C120" s="4">
        <v>46101</v>
      </c>
      <c r="D120" s="12" t="s">
        <v>15</v>
      </c>
      <c r="E120" s="12">
        <v>15</v>
      </c>
      <c r="F120" s="17"/>
    </row>
    <row r="121" spans="3:6" ht="22.5" customHeight="1">
      <c r="C121" s="4">
        <v>46101</v>
      </c>
      <c r="D121" s="12" t="s">
        <v>6</v>
      </c>
      <c r="E121" s="12">
        <v>100</v>
      </c>
      <c r="F121" s="17"/>
    </row>
    <row r="122" spans="3:6" ht="22.5" customHeight="1">
      <c r="C122" s="4">
        <v>46101</v>
      </c>
      <c r="D122" s="12" t="s">
        <v>101</v>
      </c>
      <c r="E122" s="12">
        <v>40</v>
      </c>
      <c r="F122" s="17"/>
    </row>
    <row r="123" spans="3:6" ht="22.5" customHeight="1">
      <c r="C123" s="4">
        <v>46101</v>
      </c>
      <c r="D123" s="12" t="s">
        <v>76</v>
      </c>
      <c r="E123" s="12">
        <v>25</v>
      </c>
      <c r="F123" s="17">
        <v>5082</v>
      </c>
    </row>
    <row r="124" spans="3:6" ht="22.5" customHeight="1">
      <c r="C124" s="4">
        <v>46102</v>
      </c>
      <c r="D124" s="12" t="s">
        <v>6</v>
      </c>
      <c r="E124" s="12">
        <v>100</v>
      </c>
      <c r="F124" s="17"/>
    </row>
    <row r="125" spans="3:6" ht="22.5" customHeight="1">
      <c r="C125" s="4">
        <v>46102</v>
      </c>
      <c r="D125" s="12" t="s">
        <v>15</v>
      </c>
      <c r="E125" s="12">
        <v>15</v>
      </c>
      <c r="F125" s="17"/>
    </row>
    <row r="126" spans="3:6" ht="22.5" customHeight="1">
      <c r="C126" s="4">
        <v>46103</v>
      </c>
      <c r="D126" s="12" t="s">
        <v>48</v>
      </c>
      <c r="E126" s="12">
        <v>30</v>
      </c>
      <c r="F126" s="17"/>
    </row>
    <row r="127" spans="3:6" ht="22.5" customHeight="1">
      <c r="C127" s="4">
        <v>46103</v>
      </c>
      <c r="D127" s="12" t="s">
        <v>76</v>
      </c>
      <c r="E127" s="12">
        <v>10</v>
      </c>
      <c r="F127" s="17"/>
    </row>
    <row r="128" spans="3:6" ht="22.5" customHeight="1">
      <c r="C128" s="4">
        <v>46103</v>
      </c>
      <c r="D128" s="12" t="s">
        <v>117</v>
      </c>
      <c r="E128" s="12">
        <v>5</v>
      </c>
      <c r="F128" s="17"/>
    </row>
    <row r="129" spans="3:6" ht="22.5" customHeight="1">
      <c r="C129" s="4">
        <v>46103</v>
      </c>
      <c r="D129" s="12" t="s">
        <v>15</v>
      </c>
      <c r="E129" s="12">
        <v>15</v>
      </c>
      <c r="F129" s="17"/>
    </row>
    <row r="130" spans="3:6" ht="22.5" customHeight="1">
      <c r="C130" s="4">
        <v>46103</v>
      </c>
      <c r="D130" s="12" t="s">
        <v>6</v>
      </c>
      <c r="E130" s="12">
        <v>100</v>
      </c>
      <c r="F130" s="17"/>
    </row>
    <row r="131" spans="3:6" ht="22.5" customHeight="1">
      <c r="C131" s="4">
        <v>46103</v>
      </c>
      <c r="D131" s="12" t="s">
        <v>108</v>
      </c>
      <c r="E131" s="12">
        <v>10</v>
      </c>
      <c r="F131" s="17"/>
    </row>
    <row r="132" spans="3:6" ht="22.5" customHeight="1">
      <c r="C132" s="4">
        <v>46103</v>
      </c>
      <c r="D132" s="12" t="s">
        <v>5</v>
      </c>
      <c r="E132" s="12">
        <v>80</v>
      </c>
      <c r="F132" s="17"/>
    </row>
    <row r="133" spans="3:6" ht="22.5" customHeight="1">
      <c r="C133" s="4">
        <v>46103</v>
      </c>
      <c r="D133" s="12" t="s">
        <v>61</v>
      </c>
      <c r="E133" s="12">
        <v>20</v>
      </c>
      <c r="F133" s="17"/>
    </row>
    <row r="134" spans="3:6" ht="22.5" customHeight="1">
      <c r="C134" s="4">
        <v>46104</v>
      </c>
      <c r="D134" s="12" t="s">
        <v>111</v>
      </c>
      <c r="E134" s="12">
        <v>15</v>
      </c>
      <c r="F134" s="17"/>
    </row>
    <row r="135" spans="3:6" ht="22.5" customHeight="1">
      <c r="C135" s="4">
        <v>46104</v>
      </c>
      <c r="D135" s="12" t="s">
        <v>64</v>
      </c>
      <c r="E135" s="12">
        <v>5</v>
      </c>
      <c r="F135" s="17"/>
    </row>
    <row r="136" spans="3:6" ht="22.5" customHeight="1">
      <c r="C136" s="4">
        <v>46104</v>
      </c>
      <c r="D136" s="12" t="s">
        <v>121</v>
      </c>
      <c r="E136" s="12">
        <v>3</v>
      </c>
      <c r="F136" s="17"/>
    </row>
    <row r="137" spans="3:6" ht="22.5" customHeight="1">
      <c r="C137" s="4">
        <v>46104</v>
      </c>
      <c r="D137" s="12" t="s">
        <v>70</v>
      </c>
      <c r="E137" s="12">
        <v>50</v>
      </c>
      <c r="F137" s="17"/>
    </row>
    <row r="138" spans="3:6" ht="22.5" customHeight="1">
      <c r="C138" s="4">
        <v>46104</v>
      </c>
      <c r="D138" s="12" t="s">
        <v>115</v>
      </c>
      <c r="E138" s="12">
        <v>50</v>
      </c>
      <c r="F138" s="17"/>
    </row>
    <row r="139" spans="3:6" ht="22.5" customHeight="1">
      <c r="C139" s="4">
        <v>46104</v>
      </c>
      <c r="D139" s="12" t="s">
        <v>76</v>
      </c>
      <c r="E139" s="12">
        <v>20</v>
      </c>
      <c r="F139" s="17"/>
    </row>
    <row r="140" spans="3:6" ht="22.5" customHeight="1">
      <c r="C140" s="4">
        <v>46104</v>
      </c>
      <c r="D140" s="12" t="s">
        <v>121</v>
      </c>
      <c r="E140" s="12">
        <v>6</v>
      </c>
      <c r="F140" s="17"/>
    </row>
    <row r="141" spans="3:6" ht="22.5" customHeight="1">
      <c r="C141" s="4">
        <v>46104</v>
      </c>
      <c r="D141" s="12" t="s">
        <v>48</v>
      </c>
      <c r="E141" s="12">
        <v>15</v>
      </c>
      <c r="F141" s="17"/>
    </row>
    <row r="142" spans="3:6" ht="22.5" customHeight="1">
      <c r="C142" s="4">
        <v>46104</v>
      </c>
      <c r="D142" s="12" t="s">
        <v>117</v>
      </c>
      <c r="E142" s="12">
        <v>5</v>
      </c>
      <c r="F142" s="17"/>
    </row>
    <row r="143" spans="3:6" ht="22.5" customHeight="1">
      <c r="C143" s="4">
        <v>46104</v>
      </c>
      <c r="D143" s="12" t="s">
        <v>87</v>
      </c>
      <c r="E143" s="12">
        <v>320</v>
      </c>
      <c r="F143" s="17">
        <v>5956</v>
      </c>
    </row>
    <row r="144" spans="3:6" ht="22.5" customHeight="1">
      <c r="C144" s="4">
        <v>46105</v>
      </c>
      <c r="D144" s="12" t="s">
        <v>70</v>
      </c>
      <c r="E144" s="12">
        <v>150</v>
      </c>
      <c r="F144" s="17"/>
    </row>
    <row r="145" spans="3:6" ht="22.5" customHeight="1">
      <c r="C145" s="4">
        <v>46105</v>
      </c>
      <c r="D145" s="12" t="s">
        <v>15</v>
      </c>
      <c r="E145" s="12">
        <v>30</v>
      </c>
      <c r="F145" s="17"/>
    </row>
    <row r="146" spans="3:6" ht="22.5" customHeight="1">
      <c r="C146" s="4">
        <v>46106</v>
      </c>
      <c r="D146" s="12" t="s">
        <v>70</v>
      </c>
      <c r="E146" s="12">
        <v>35</v>
      </c>
      <c r="F146" s="17"/>
    </row>
    <row r="147" spans="3:6" ht="22.5" customHeight="1">
      <c r="C147" s="4">
        <v>46106</v>
      </c>
      <c r="D147" s="12" t="s">
        <v>48</v>
      </c>
      <c r="E147" s="12">
        <v>30</v>
      </c>
      <c r="F147" s="17">
        <v>6201</v>
      </c>
    </row>
    <row r="148" spans="3:6" ht="22.5" customHeight="1">
      <c r="C148" s="4">
        <v>46107</v>
      </c>
      <c r="D148" s="12" t="s">
        <v>70</v>
      </c>
      <c r="E148" s="12">
        <v>175</v>
      </c>
      <c r="F148" s="17"/>
    </row>
    <row r="149" spans="3:6" ht="22.5" customHeight="1">
      <c r="C149" s="4">
        <v>46107</v>
      </c>
      <c r="D149" s="12" t="s">
        <v>76</v>
      </c>
      <c r="E149" s="12">
        <v>15</v>
      </c>
      <c r="F149" s="17"/>
    </row>
    <row r="150" spans="3:6" ht="22.5" customHeight="1">
      <c r="C150" s="4">
        <v>46108</v>
      </c>
      <c r="D150" s="12" t="s">
        <v>48</v>
      </c>
      <c r="E150" s="12">
        <v>30</v>
      </c>
      <c r="F150" s="17"/>
    </row>
    <row r="151" spans="3:6" ht="22.5" customHeight="1">
      <c r="C151" s="4">
        <v>46108</v>
      </c>
      <c r="D151" s="12" t="s">
        <v>76</v>
      </c>
      <c r="E151" s="12">
        <v>20</v>
      </c>
      <c r="F151" s="17"/>
    </row>
    <row r="152" spans="3:6" ht="22.5" customHeight="1">
      <c r="C152" s="4">
        <v>46108</v>
      </c>
      <c r="D152" s="12" t="s">
        <v>108</v>
      </c>
      <c r="E152" s="12">
        <v>10</v>
      </c>
      <c r="F152" s="17"/>
    </row>
    <row r="153" spans="3:6" ht="22.5" customHeight="1">
      <c r="C153" s="4">
        <v>46108</v>
      </c>
      <c r="D153" s="12" t="s">
        <v>6</v>
      </c>
      <c r="E153" s="12">
        <v>100</v>
      </c>
      <c r="F153" s="17"/>
    </row>
    <row r="154" spans="3:6" ht="22.5" customHeight="1">
      <c r="C154" s="4">
        <v>46108</v>
      </c>
      <c r="D154" s="12" t="s">
        <v>115</v>
      </c>
      <c r="E154" s="12">
        <v>30</v>
      </c>
      <c r="F154" s="17"/>
    </row>
    <row r="155" spans="3:6" ht="22.5" customHeight="1">
      <c r="C155" s="4">
        <v>46108</v>
      </c>
      <c r="D155" s="12" t="s">
        <v>48</v>
      </c>
      <c r="E155" s="12">
        <v>60</v>
      </c>
      <c r="F155" s="17"/>
    </row>
    <row r="156" spans="3:6" ht="22.5" customHeight="1">
      <c r="C156" s="4">
        <v>46109</v>
      </c>
      <c r="D156" s="12" t="s">
        <v>48</v>
      </c>
      <c r="E156" s="12">
        <v>35</v>
      </c>
      <c r="F156" s="17"/>
    </row>
    <row r="157" spans="3:6" ht="22.5" customHeight="1">
      <c r="C157" s="4">
        <v>46109</v>
      </c>
      <c r="D157" s="12" t="s">
        <v>5</v>
      </c>
      <c r="E157" s="12">
        <v>10</v>
      </c>
      <c r="F157" s="17"/>
    </row>
    <row r="158" spans="3:6" ht="22.5" customHeight="1">
      <c r="C158" s="4">
        <v>46110</v>
      </c>
      <c r="D158" s="12" t="s">
        <v>48</v>
      </c>
      <c r="E158" s="12">
        <v>35</v>
      </c>
      <c r="F158" s="17"/>
    </row>
    <row r="159" spans="3:6" ht="22.5" customHeight="1">
      <c r="C159" s="4">
        <v>46110</v>
      </c>
      <c r="D159" s="12" t="s">
        <v>106</v>
      </c>
      <c r="E159" s="12">
        <v>15</v>
      </c>
      <c r="F159" s="17"/>
    </row>
    <row r="160" spans="3:6" ht="22.5" customHeight="1">
      <c r="C160" s="4">
        <v>46110</v>
      </c>
      <c r="D160" s="12" t="s">
        <v>5</v>
      </c>
      <c r="E160" s="12">
        <v>20</v>
      </c>
      <c r="F160" s="17"/>
    </row>
    <row r="161" spans="3:6" ht="22.5" customHeight="1">
      <c r="C161" s="4">
        <v>46110</v>
      </c>
      <c r="D161" s="12" t="s">
        <v>15</v>
      </c>
      <c r="E161" s="12">
        <v>20</v>
      </c>
      <c r="F161" s="17">
        <v>6776</v>
      </c>
    </row>
    <row r="162" spans="3:6" ht="22.5" customHeight="1">
      <c r="C162" s="4">
        <v>46110</v>
      </c>
      <c r="D162" s="12" t="s">
        <v>48</v>
      </c>
      <c r="E162" s="12">
        <v>60</v>
      </c>
      <c r="F162" s="17"/>
    </row>
    <row r="163" spans="3:6" ht="22.5" customHeight="1">
      <c r="C163" s="4">
        <v>46110</v>
      </c>
      <c r="D163" s="12" t="s">
        <v>76</v>
      </c>
      <c r="E163" s="12">
        <v>15</v>
      </c>
      <c r="F163" s="17"/>
    </row>
    <row r="164" spans="3:6" ht="22.5" customHeight="1">
      <c r="C164" s="4">
        <v>46111</v>
      </c>
      <c r="D164" s="12" t="s">
        <v>15</v>
      </c>
      <c r="E164" s="12">
        <v>45</v>
      </c>
      <c r="F164" s="17"/>
    </row>
    <row r="165" spans="3:6" ht="22.5" customHeight="1">
      <c r="C165" s="4">
        <v>46111</v>
      </c>
      <c r="D165" s="12" t="s">
        <v>108</v>
      </c>
      <c r="E165" s="12">
        <v>30</v>
      </c>
      <c r="F165" s="17">
        <v>6926</v>
      </c>
    </row>
    <row r="166" spans="3:6" ht="22.5" customHeight="1">
      <c r="C166" s="4">
        <v>46111</v>
      </c>
      <c r="D166" s="12" t="s">
        <v>6</v>
      </c>
      <c r="E166" s="12">
        <v>100</v>
      </c>
      <c r="F166" s="17"/>
    </row>
    <row r="167" spans="3:6" ht="22.5" customHeight="1">
      <c r="C167" s="4">
        <v>46111</v>
      </c>
      <c r="D167" s="12" t="s">
        <v>61</v>
      </c>
      <c r="E167" s="12">
        <v>5</v>
      </c>
      <c r="F167" s="17"/>
    </row>
    <row r="168" spans="3:6" ht="22.5" customHeight="1">
      <c r="C168" s="4">
        <v>46111</v>
      </c>
      <c r="D168" s="12" t="s">
        <v>76</v>
      </c>
      <c r="E168" s="12">
        <v>10</v>
      </c>
      <c r="F168" s="17"/>
    </row>
    <row r="169" spans="3:6" ht="22.5" customHeight="1">
      <c r="C169" s="4">
        <v>46111</v>
      </c>
      <c r="D169" s="12" t="s">
        <v>61</v>
      </c>
      <c r="E169" s="12">
        <v>5</v>
      </c>
      <c r="F169" s="17">
        <v>7046</v>
      </c>
    </row>
    <row r="170" spans="3:6" ht="22.5" customHeight="1">
      <c r="C170" s="4">
        <v>46112</v>
      </c>
      <c r="D170" s="12" t="s">
        <v>70</v>
      </c>
      <c r="E170" s="12">
        <v>55</v>
      </c>
      <c r="F170" s="17"/>
    </row>
    <row r="171" spans="3:6" ht="22.5" customHeight="1">
      <c r="C171" s="4">
        <v>46112</v>
      </c>
      <c r="D171" s="12" t="s">
        <v>111</v>
      </c>
      <c r="E171" s="12">
        <v>15</v>
      </c>
      <c r="F171" s="17"/>
    </row>
    <row r="172" spans="3:6" ht="22.5" customHeight="1">
      <c r="C172" s="4">
        <v>46112</v>
      </c>
      <c r="D172" s="12" t="s">
        <v>6</v>
      </c>
      <c r="E172" s="12">
        <v>100</v>
      </c>
      <c r="F172" s="17"/>
    </row>
    <row r="173" spans="3:6" ht="22.5" customHeight="1">
      <c r="C173" s="4">
        <v>46112</v>
      </c>
      <c r="D173" s="12" t="s">
        <v>106</v>
      </c>
      <c r="E173" s="12">
        <v>20</v>
      </c>
      <c r="F173" s="17">
        <v>7236</v>
      </c>
    </row>
    <row r="174" spans="3:6" ht="22.5" customHeight="1">
      <c r="C174" s="4">
        <v>46112</v>
      </c>
      <c r="D174" s="12" t="s">
        <v>48</v>
      </c>
      <c r="E174" s="12">
        <v>60</v>
      </c>
      <c r="F174" s="17"/>
    </row>
    <row r="175" spans="3:6" ht="22.5" customHeight="1">
      <c r="C175" s="4">
        <v>46113</v>
      </c>
      <c r="D175" s="12" t="s">
        <v>70</v>
      </c>
      <c r="E175" s="12">
        <v>30</v>
      </c>
      <c r="F175" s="17"/>
    </row>
    <row r="176" spans="3:6" ht="22.5" customHeight="1">
      <c r="C176" s="4">
        <v>46113</v>
      </c>
      <c r="D176" s="12" t="s">
        <v>70</v>
      </c>
      <c r="E176" s="12">
        <v>10</v>
      </c>
      <c r="F176" s="17"/>
    </row>
    <row r="177" spans="3:6" ht="22.5" customHeight="1">
      <c r="C177" s="4">
        <v>46113</v>
      </c>
      <c r="D177" s="12" t="s">
        <v>6</v>
      </c>
      <c r="E177" s="12">
        <v>100</v>
      </c>
      <c r="F177" s="17"/>
    </row>
    <row r="178" spans="3:6" ht="22.5" customHeight="1">
      <c r="C178" s="4">
        <v>46113</v>
      </c>
      <c r="D178" s="12" t="s">
        <v>48</v>
      </c>
      <c r="E178" s="12">
        <v>30</v>
      </c>
      <c r="F178" s="17"/>
    </row>
    <row r="179" spans="3:6" ht="22.5" customHeight="1">
      <c r="C179" s="4">
        <v>46113</v>
      </c>
      <c r="D179" s="12" t="s">
        <v>106</v>
      </c>
      <c r="E179" s="12">
        <v>20</v>
      </c>
      <c r="F179" s="17"/>
    </row>
    <row r="180" spans="3:6" ht="22.5" customHeight="1">
      <c r="C180" s="4">
        <v>46114</v>
      </c>
      <c r="D180" s="12" t="s">
        <v>6</v>
      </c>
      <c r="E180" s="12">
        <v>100</v>
      </c>
      <c r="F180" s="17">
        <v>7586</v>
      </c>
    </row>
    <row r="181" spans="3:6" ht="22.5" customHeight="1">
      <c r="C181" s="43"/>
      <c r="D181" s="12"/>
      <c r="E181" s="12">
        <v>-7586</v>
      </c>
      <c r="F181" s="17"/>
    </row>
  </sheetData>
  <mergeCells count="20">
    <mergeCell ref="B86:B91"/>
    <mergeCell ref="B92:B95"/>
    <mergeCell ref="B97:B104"/>
    <mergeCell ref="B106:B108"/>
    <mergeCell ref="B4:B8"/>
    <mergeCell ref="B9:B11"/>
    <mergeCell ref="B47:B55"/>
    <mergeCell ref="B56:B62"/>
    <mergeCell ref="B63:B64"/>
    <mergeCell ref="B65:B71"/>
    <mergeCell ref="B72:B78"/>
    <mergeCell ref="B79:B85"/>
    <mergeCell ref="B16:B18"/>
    <mergeCell ref="B25:B31"/>
    <mergeCell ref="B45:B46"/>
    <mergeCell ref="C1:E2"/>
    <mergeCell ref="F1:F2"/>
    <mergeCell ref="B13:B15"/>
    <mergeCell ref="B19:B24"/>
    <mergeCell ref="B32:B34"/>
  </mergeCells>
  <conditionalFormatting sqref="E29:E1048576 E1:E9 E11:E24">
    <cfRule type="cellIs" dxfId="23" priority="1" operator="between">
      <formula>100</formula>
      <formula>1000</formula>
    </cfRule>
    <cfRule type="timePeriod" dxfId="22" priority="2" timePeriod="today">
      <formula>FLOOR(E1,1)=TODAY()</formula>
    </cfRule>
    <cfRule type="cellIs" dxfId="21" priority="3" operator="between">
      <formula>100</formula>
      <formula>500</formula>
    </cfRule>
    <cfRule type="colorScale" priority="4">
      <colorScale>
        <cfvo type="min" val="0"/>
        <cfvo type="max" val="0"/>
        <color rgb="FF63BE7B"/>
        <color rgb="FFFFEF9C"/>
      </colorScale>
    </cfRule>
    <cfRule type="top10" dxfId="20" priority="5" percent="1" rank="10"/>
    <cfRule type="dataBar" priority="6">
      <dataBar>
        <cfvo type="min" val="0"/>
        <cfvo type="max" val="0"/>
        <color rgb="FFD6007B"/>
      </dataBar>
    </cfRule>
  </conditionalFormatting>
  <pageMargins left="0.7" right="0.7" top="0.75" bottom="0.75" header="0.3" footer="0.3"/>
  <pageSetup paperSize="9" fitToWidth="0"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I181"/>
  <sheetViews>
    <sheetView tabSelected="1" topLeftCell="A41" workbookViewId="0">
      <selection activeCell="F46" sqref="F46"/>
    </sheetView>
  </sheetViews>
  <sheetFormatPr baseColWidth="10" defaultColWidth="20.5703125" defaultRowHeight="22.5" customHeight="1"/>
  <cols>
    <col min="1" max="2" width="20.5703125" style="2"/>
    <col min="3" max="3" width="20.5703125" style="16"/>
    <col min="4" max="4" width="23.5703125" style="2" customWidth="1"/>
    <col min="5" max="16384" width="20.5703125" style="2"/>
  </cols>
  <sheetData>
    <row r="1" spans="1:9" ht="22.5" customHeight="1">
      <c r="C1" s="52" t="s">
        <v>21</v>
      </c>
      <c r="D1" s="53"/>
      <c r="E1" s="54"/>
      <c r="F1" s="51">
        <v>2</v>
      </c>
    </row>
    <row r="2" spans="1:9" ht="22.5" customHeight="1" thickBot="1">
      <c r="C2" s="55"/>
      <c r="D2" s="56"/>
      <c r="E2" s="57"/>
      <c r="F2" s="51"/>
      <c r="I2" s="14"/>
    </row>
    <row r="3" spans="1:9" ht="22.5" customHeight="1" thickBot="1">
      <c r="C3" s="15" t="s">
        <v>0</v>
      </c>
      <c r="D3" s="8" t="s">
        <v>1</v>
      </c>
      <c r="E3" s="8" t="s">
        <v>2</v>
      </c>
      <c r="F3" s="9" t="s">
        <v>3</v>
      </c>
    </row>
    <row r="4" spans="1:9" ht="22.5" customHeight="1">
      <c r="B4" s="48">
        <f>SUM(E4:E8)</f>
        <v>145</v>
      </c>
      <c r="C4" s="4">
        <v>46114</v>
      </c>
      <c r="D4" s="3" t="s">
        <v>48</v>
      </c>
      <c r="E4" s="3">
        <v>30</v>
      </c>
      <c r="F4" s="18">
        <f>SUM(E4:E181)</f>
        <v>1465</v>
      </c>
      <c r="G4" s="2">
        <v>1</v>
      </c>
      <c r="H4" s="2">
        <v>25</v>
      </c>
    </row>
    <row r="5" spans="1:9" ht="22.5" customHeight="1">
      <c r="B5" s="49"/>
      <c r="C5" s="4">
        <v>46114</v>
      </c>
      <c r="D5" s="3" t="s">
        <v>122</v>
      </c>
      <c r="E5" s="3">
        <v>10</v>
      </c>
      <c r="F5" s="6"/>
      <c r="G5" s="2">
        <v>2</v>
      </c>
      <c r="H5" s="2">
        <v>26</v>
      </c>
    </row>
    <row r="6" spans="1:9" ht="22.5" customHeight="1">
      <c r="B6" s="49"/>
      <c r="C6" s="4">
        <v>46115</v>
      </c>
      <c r="D6" s="3" t="s">
        <v>15</v>
      </c>
      <c r="E6" s="3">
        <v>30</v>
      </c>
      <c r="F6" s="6"/>
      <c r="G6" s="2">
        <v>3</v>
      </c>
      <c r="H6" s="2">
        <v>27</v>
      </c>
    </row>
    <row r="7" spans="1:9" ht="22.5" customHeight="1">
      <c r="B7" s="49"/>
      <c r="C7" s="4">
        <v>46115</v>
      </c>
      <c r="D7" s="3" t="s">
        <v>48</v>
      </c>
      <c r="E7" s="3">
        <v>60</v>
      </c>
      <c r="F7" s="6"/>
      <c r="G7" s="2">
        <v>4</v>
      </c>
      <c r="H7" s="2">
        <v>28</v>
      </c>
    </row>
    <row r="8" spans="1:9" ht="22.5" customHeight="1" thickBot="1">
      <c r="B8" s="50"/>
      <c r="C8" s="4">
        <v>46115</v>
      </c>
      <c r="D8" s="3" t="s">
        <v>123</v>
      </c>
      <c r="E8" s="3">
        <v>15</v>
      </c>
      <c r="F8" s="6"/>
      <c r="G8" s="2">
        <v>5</v>
      </c>
      <c r="H8" s="2">
        <v>1</v>
      </c>
    </row>
    <row r="9" spans="1:9" ht="22.5" customHeight="1">
      <c r="B9" s="48">
        <f>SUM(E9:E11)</f>
        <v>135</v>
      </c>
      <c r="C9" s="4">
        <v>46115</v>
      </c>
      <c r="D9" s="3" t="s">
        <v>95</v>
      </c>
      <c r="E9" s="3">
        <v>80</v>
      </c>
      <c r="F9" s="6"/>
      <c r="G9" s="2">
        <v>6</v>
      </c>
      <c r="H9" s="2">
        <v>2</v>
      </c>
    </row>
    <row r="10" spans="1:9" ht="22.5" customHeight="1">
      <c r="B10" s="49"/>
      <c r="C10" s="4">
        <v>46116</v>
      </c>
      <c r="D10" s="3" t="s">
        <v>70</v>
      </c>
      <c r="E10" s="3">
        <v>25</v>
      </c>
      <c r="F10" s="6"/>
      <c r="G10" s="2">
        <v>7</v>
      </c>
      <c r="H10" s="2">
        <v>3</v>
      </c>
    </row>
    <row r="11" spans="1:9" ht="22.5" customHeight="1" thickBot="1">
      <c r="A11" s="14"/>
      <c r="B11" s="50"/>
      <c r="C11" s="4">
        <v>46116</v>
      </c>
      <c r="D11" s="3" t="s">
        <v>58</v>
      </c>
      <c r="E11" s="3">
        <v>30</v>
      </c>
      <c r="F11" s="6"/>
      <c r="G11" s="2">
        <v>8</v>
      </c>
      <c r="H11" s="2">
        <v>4</v>
      </c>
    </row>
    <row r="12" spans="1:9" ht="22.5" customHeight="1" thickBot="1">
      <c r="B12" s="23">
        <f>SUM(E12:E12)</f>
        <v>20</v>
      </c>
      <c r="C12" s="4">
        <v>46116</v>
      </c>
      <c r="D12" s="3" t="s">
        <v>76</v>
      </c>
      <c r="E12" s="3">
        <v>20</v>
      </c>
      <c r="F12" s="6"/>
      <c r="G12" s="2">
        <v>9</v>
      </c>
      <c r="H12" s="2">
        <v>5</v>
      </c>
    </row>
    <row r="13" spans="1:9" ht="22.5" customHeight="1">
      <c r="B13" s="48">
        <f>SUM(E13:E15)</f>
        <v>60</v>
      </c>
      <c r="C13" s="4">
        <v>46116</v>
      </c>
      <c r="D13" s="3" t="s">
        <v>76</v>
      </c>
      <c r="E13" s="3">
        <v>10</v>
      </c>
      <c r="F13" s="6"/>
      <c r="G13" s="2">
        <v>10</v>
      </c>
      <c r="H13" s="2">
        <v>6</v>
      </c>
    </row>
    <row r="14" spans="1:9" ht="22.5" customHeight="1">
      <c r="B14" s="49"/>
      <c r="C14" s="4">
        <v>46116</v>
      </c>
      <c r="D14" s="3" t="s">
        <v>48</v>
      </c>
      <c r="E14" s="3">
        <v>30</v>
      </c>
      <c r="F14" s="6"/>
      <c r="G14" s="2">
        <v>11</v>
      </c>
      <c r="H14" s="2">
        <v>7</v>
      </c>
    </row>
    <row r="15" spans="1:9" ht="22.5" customHeight="1" thickBot="1">
      <c r="B15" s="50"/>
      <c r="C15" s="4">
        <v>46117</v>
      </c>
      <c r="D15" s="12" t="s">
        <v>58</v>
      </c>
      <c r="E15" s="12">
        <v>20</v>
      </c>
      <c r="F15" s="17"/>
      <c r="G15" s="2">
        <v>12</v>
      </c>
      <c r="H15" s="2">
        <v>8</v>
      </c>
    </row>
    <row r="16" spans="1:9" ht="22.5" customHeight="1">
      <c r="B16" s="48">
        <f>SUM(E16:E18)</f>
        <v>250</v>
      </c>
      <c r="C16" s="4">
        <v>46117</v>
      </c>
      <c r="D16" s="12" t="s">
        <v>124</v>
      </c>
      <c r="E16" s="12">
        <v>10</v>
      </c>
      <c r="F16" s="17"/>
      <c r="G16" s="2">
        <v>13</v>
      </c>
      <c r="H16" s="2">
        <v>9</v>
      </c>
    </row>
    <row r="17" spans="2:8" ht="22.5" customHeight="1">
      <c r="B17" s="49"/>
      <c r="C17" s="4">
        <v>46117</v>
      </c>
      <c r="D17" s="12" t="s">
        <v>125</v>
      </c>
      <c r="E17" s="12">
        <v>200</v>
      </c>
      <c r="F17" s="17"/>
      <c r="G17" s="2">
        <v>14</v>
      </c>
      <c r="H17" s="2">
        <v>10</v>
      </c>
    </row>
    <row r="18" spans="2:8" ht="22.5" customHeight="1" thickBot="1">
      <c r="B18" s="49"/>
      <c r="C18" s="4">
        <v>46117</v>
      </c>
      <c r="D18" s="12" t="s">
        <v>126</v>
      </c>
      <c r="E18" s="12">
        <v>40</v>
      </c>
      <c r="F18" s="17"/>
      <c r="G18" s="2">
        <v>15</v>
      </c>
      <c r="H18" s="2">
        <v>11</v>
      </c>
    </row>
    <row r="19" spans="2:8" ht="22.5" customHeight="1">
      <c r="B19" s="48">
        <f>SUM(E19:E24)</f>
        <v>220</v>
      </c>
      <c r="C19" s="4">
        <v>46117</v>
      </c>
      <c r="D19" s="12" t="s">
        <v>126</v>
      </c>
      <c r="E19" s="12">
        <v>40</v>
      </c>
      <c r="F19" s="17"/>
      <c r="G19" s="2">
        <v>16</v>
      </c>
      <c r="H19" s="2">
        <v>12</v>
      </c>
    </row>
    <row r="20" spans="2:8" ht="22.5" customHeight="1">
      <c r="B20" s="49"/>
      <c r="C20" s="4">
        <v>46117</v>
      </c>
      <c r="D20" s="12" t="s">
        <v>48</v>
      </c>
      <c r="E20" s="12">
        <v>30</v>
      </c>
      <c r="F20" s="17"/>
      <c r="G20" s="2">
        <v>17</v>
      </c>
      <c r="H20" s="2">
        <v>13</v>
      </c>
    </row>
    <row r="21" spans="2:8" ht="22.5" customHeight="1">
      <c r="B21" s="49"/>
      <c r="C21" s="4">
        <v>46117</v>
      </c>
      <c r="D21" s="12" t="s">
        <v>127</v>
      </c>
      <c r="E21" s="12">
        <v>40</v>
      </c>
      <c r="F21" s="17"/>
      <c r="G21" s="2">
        <v>18</v>
      </c>
      <c r="H21" s="2">
        <v>14</v>
      </c>
    </row>
    <row r="22" spans="2:8" ht="22.5" customHeight="1">
      <c r="B22" s="49"/>
      <c r="C22" s="4">
        <v>46117</v>
      </c>
      <c r="D22" s="12" t="s">
        <v>128</v>
      </c>
      <c r="E22" s="12">
        <v>40</v>
      </c>
      <c r="F22" s="17"/>
      <c r="G22" s="2">
        <v>19</v>
      </c>
      <c r="H22" s="2">
        <v>15</v>
      </c>
    </row>
    <row r="23" spans="2:8" ht="22.5" customHeight="1">
      <c r="B23" s="49"/>
      <c r="C23" s="4">
        <v>46117</v>
      </c>
      <c r="D23" s="12" t="s">
        <v>124</v>
      </c>
      <c r="E23" s="12">
        <v>10</v>
      </c>
      <c r="F23" s="17"/>
      <c r="G23" s="2">
        <v>20</v>
      </c>
      <c r="H23" s="2">
        <v>16</v>
      </c>
    </row>
    <row r="24" spans="2:8" ht="22.5" customHeight="1" thickBot="1">
      <c r="B24" s="50"/>
      <c r="C24" s="4">
        <v>46117</v>
      </c>
      <c r="D24" s="12" t="s">
        <v>48</v>
      </c>
      <c r="E24" s="12">
        <v>60</v>
      </c>
      <c r="F24" s="17"/>
      <c r="G24" s="2">
        <v>21</v>
      </c>
      <c r="H24" s="2">
        <v>17</v>
      </c>
    </row>
    <row r="25" spans="2:8" ht="22.5" customHeight="1">
      <c r="B25" s="48">
        <f>SUM(E25:E31)</f>
        <v>175</v>
      </c>
      <c r="C25" s="4">
        <v>46117</v>
      </c>
      <c r="D25" s="3" t="s">
        <v>91</v>
      </c>
      <c r="E25" s="3">
        <v>20</v>
      </c>
      <c r="F25" s="17"/>
      <c r="G25" s="2">
        <v>22</v>
      </c>
      <c r="H25" s="2">
        <v>18</v>
      </c>
    </row>
    <row r="26" spans="2:8" ht="22.5" customHeight="1">
      <c r="B26" s="49"/>
      <c r="C26" s="4">
        <v>46117</v>
      </c>
      <c r="D26" s="3" t="s">
        <v>83</v>
      </c>
      <c r="E26" s="3">
        <v>25</v>
      </c>
      <c r="F26" s="17"/>
      <c r="G26" s="2">
        <v>23</v>
      </c>
      <c r="H26" s="2">
        <v>19</v>
      </c>
    </row>
    <row r="27" spans="2:8" ht="22.5" customHeight="1">
      <c r="B27" s="49"/>
      <c r="C27" s="4">
        <v>46118</v>
      </c>
      <c r="D27" s="3" t="s">
        <v>129</v>
      </c>
      <c r="E27" s="3">
        <v>25</v>
      </c>
      <c r="F27" s="17"/>
      <c r="G27" s="2">
        <v>24</v>
      </c>
      <c r="H27" s="2">
        <v>20</v>
      </c>
    </row>
    <row r="28" spans="2:8" ht="22.5" customHeight="1">
      <c r="B28" s="49"/>
      <c r="C28" s="4">
        <v>46118</v>
      </c>
      <c r="D28" s="3" t="s">
        <v>64</v>
      </c>
      <c r="E28" s="3">
        <v>5</v>
      </c>
      <c r="F28" s="17"/>
      <c r="G28" s="2">
        <v>25</v>
      </c>
      <c r="H28" s="2">
        <v>21</v>
      </c>
    </row>
    <row r="29" spans="2:8" ht="22.5" customHeight="1">
      <c r="B29" s="49"/>
      <c r="C29" s="4">
        <v>46118</v>
      </c>
      <c r="D29" s="12" t="s">
        <v>58</v>
      </c>
      <c r="E29" s="12">
        <v>50</v>
      </c>
      <c r="F29" s="17"/>
      <c r="G29" s="2">
        <v>26</v>
      </c>
      <c r="H29" s="2">
        <v>22</v>
      </c>
    </row>
    <row r="30" spans="2:8" ht="22.5" customHeight="1">
      <c r="B30" s="49"/>
      <c r="C30" s="4">
        <v>46118</v>
      </c>
      <c r="D30" s="12" t="s">
        <v>127</v>
      </c>
      <c r="E30" s="12">
        <v>30</v>
      </c>
      <c r="F30" s="17"/>
      <c r="G30" s="2">
        <v>27</v>
      </c>
      <c r="H30" s="2">
        <v>23</v>
      </c>
    </row>
    <row r="31" spans="2:8" ht="22.5" customHeight="1">
      <c r="B31" s="49"/>
      <c r="C31" s="4">
        <v>46118</v>
      </c>
      <c r="D31" s="12" t="s">
        <v>124</v>
      </c>
      <c r="E31" s="12">
        <v>20</v>
      </c>
      <c r="F31" s="17"/>
      <c r="G31" s="2">
        <v>28</v>
      </c>
      <c r="H31" s="2">
        <v>24</v>
      </c>
    </row>
    <row r="32" spans="2:8" ht="22.5" customHeight="1">
      <c r="B32" s="49"/>
      <c r="C32" s="4">
        <v>46118</v>
      </c>
      <c r="D32" s="12" t="s">
        <v>48</v>
      </c>
      <c r="E32" s="12">
        <v>60</v>
      </c>
      <c r="F32" s="17"/>
    </row>
    <row r="33" spans="2:6" ht="22.5" customHeight="1">
      <c r="B33" s="49"/>
      <c r="C33" s="4">
        <v>46118</v>
      </c>
      <c r="D33" s="12" t="s">
        <v>98</v>
      </c>
      <c r="E33" s="12">
        <v>20</v>
      </c>
      <c r="F33" s="17"/>
    </row>
    <row r="34" spans="2:6" ht="22.5" customHeight="1">
      <c r="B34" s="49"/>
      <c r="C34" s="4">
        <v>46118</v>
      </c>
      <c r="D34" s="12" t="s">
        <v>124</v>
      </c>
      <c r="E34" s="12">
        <v>10</v>
      </c>
      <c r="F34" s="17"/>
    </row>
    <row r="35" spans="2:6" ht="22.5" customHeight="1">
      <c r="B35" s="45"/>
      <c r="C35" s="4">
        <v>46119</v>
      </c>
      <c r="D35" s="12" t="s">
        <v>15</v>
      </c>
      <c r="E35" s="12">
        <v>15</v>
      </c>
      <c r="F35" s="17"/>
    </row>
    <row r="36" spans="2:6" ht="22.5" customHeight="1">
      <c r="B36" s="45"/>
      <c r="C36" s="4">
        <v>46119</v>
      </c>
      <c r="D36" s="12" t="s">
        <v>76</v>
      </c>
      <c r="E36" s="12">
        <v>20</v>
      </c>
      <c r="F36" s="17"/>
    </row>
    <row r="37" spans="2:6" ht="22.5" customHeight="1" thickBot="1">
      <c r="B37" s="44"/>
      <c r="C37" s="4">
        <v>46119</v>
      </c>
      <c r="D37" s="12" t="s">
        <v>48</v>
      </c>
      <c r="E37" s="12">
        <v>15</v>
      </c>
      <c r="F37" s="17"/>
    </row>
    <row r="38" spans="2:6" ht="22.5" customHeight="1">
      <c r="B38" s="46">
        <f>SUM(E38:E44)</f>
        <v>290</v>
      </c>
      <c r="C38" s="4">
        <v>46119</v>
      </c>
      <c r="D38" s="12" t="s">
        <v>58</v>
      </c>
      <c r="E38" s="12">
        <v>100</v>
      </c>
      <c r="F38" s="17"/>
    </row>
    <row r="39" spans="2:6" ht="22.5" customHeight="1">
      <c r="B39" s="45"/>
      <c r="C39" s="4">
        <v>46119</v>
      </c>
      <c r="D39" s="12" t="s">
        <v>76</v>
      </c>
      <c r="E39" s="12">
        <v>10</v>
      </c>
      <c r="F39" s="17"/>
    </row>
    <row r="40" spans="2:6" ht="22.5" customHeight="1">
      <c r="B40" s="45"/>
      <c r="C40" s="4">
        <v>46120</v>
      </c>
      <c r="D40" s="12" t="s">
        <v>48</v>
      </c>
      <c r="E40" s="12">
        <v>30</v>
      </c>
      <c r="F40" s="17"/>
    </row>
    <row r="41" spans="2:6" ht="22.5" customHeight="1">
      <c r="B41" s="45"/>
      <c r="C41" s="4">
        <v>46120</v>
      </c>
      <c r="D41" s="12" t="s">
        <v>76</v>
      </c>
      <c r="E41" s="12">
        <v>20</v>
      </c>
      <c r="F41" s="17"/>
    </row>
    <row r="42" spans="2:6" ht="22.5" customHeight="1">
      <c r="B42" s="45"/>
      <c r="C42" s="4">
        <v>46120</v>
      </c>
      <c r="D42" s="12" t="s">
        <v>48</v>
      </c>
      <c r="E42" s="12">
        <v>15</v>
      </c>
      <c r="F42" s="17"/>
    </row>
    <row r="43" spans="2:6" ht="22.5" customHeight="1">
      <c r="B43" s="45"/>
      <c r="C43" s="4">
        <v>46120</v>
      </c>
      <c r="D43" s="12" t="s">
        <v>15</v>
      </c>
      <c r="E43" s="12">
        <v>15</v>
      </c>
      <c r="F43" s="17"/>
    </row>
    <row r="44" spans="2:6" ht="22.5" customHeight="1" thickBot="1">
      <c r="B44" s="44"/>
      <c r="C44" s="4">
        <v>46120</v>
      </c>
      <c r="D44" s="12" t="s">
        <v>58</v>
      </c>
      <c r="E44" s="12">
        <v>100</v>
      </c>
      <c r="F44" s="17"/>
    </row>
    <row r="45" spans="2:6" ht="22.5" customHeight="1">
      <c r="B45" s="48">
        <f>SUM(E45:E46)</f>
        <v>30</v>
      </c>
      <c r="C45" s="4">
        <v>46120</v>
      </c>
      <c r="D45" s="12" t="s">
        <v>48</v>
      </c>
      <c r="E45" s="12">
        <v>30</v>
      </c>
      <c r="F45" s="17">
        <v>1465</v>
      </c>
    </row>
    <row r="46" spans="2:6" ht="22.5" customHeight="1" thickBot="1">
      <c r="B46" s="50"/>
      <c r="C46" s="4"/>
      <c r="D46" s="12"/>
      <c r="E46" s="12"/>
      <c r="F46" s="17"/>
    </row>
    <row r="47" spans="2:6" ht="22.5" customHeight="1">
      <c r="B47" s="48">
        <f>SUM(E47:E55)</f>
        <v>0</v>
      </c>
      <c r="C47" s="4"/>
      <c r="D47" s="12"/>
      <c r="E47" s="12"/>
      <c r="F47" s="17"/>
    </row>
    <row r="48" spans="2:6" ht="22.5" customHeight="1">
      <c r="B48" s="49"/>
      <c r="C48" s="4"/>
      <c r="D48" s="12"/>
      <c r="E48" s="12"/>
      <c r="F48" s="17"/>
    </row>
    <row r="49" spans="2:6" ht="22.5" customHeight="1">
      <c r="B49" s="49"/>
      <c r="C49" s="4"/>
      <c r="D49" s="12"/>
      <c r="E49" s="12"/>
      <c r="F49" s="17"/>
    </row>
    <row r="50" spans="2:6" ht="22.5" customHeight="1">
      <c r="B50" s="49"/>
      <c r="C50" s="4"/>
      <c r="D50" s="12"/>
      <c r="E50" s="12"/>
      <c r="F50" s="17"/>
    </row>
    <row r="51" spans="2:6" ht="22.5" customHeight="1">
      <c r="B51" s="49"/>
      <c r="C51" s="4"/>
      <c r="D51" s="12"/>
      <c r="E51" s="12"/>
      <c r="F51" s="17"/>
    </row>
    <row r="52" spans="2:6" ht="22.5" customHeight="1">
      <c r="B52" s="49"/>
      <c r="C52" s="4"/>
      <c r="D52" s="12"/>
      <c r="E52" s="12"/>
      <c r="F52" s="17"/>
    </row>
    <row r="53" spans="2:6" ht="22.5" customHeight="1">
      <c r="B53" s="49"/>
      <c r="C53" s="4"/>
      <c r="D53" s="12"/>
      <c r="E53" s="12"/>
      <c r="F53" s="17"/>
    </row>
    <row r="54" spans="2:6" ht="22.5" customHeight="1">
      <c r="B54" s="49"/>
      <c r="C54" s="4"/>
      <c r="D54" s="12"/>
      <c r="E54" s="12"/>
      <c r="F54" s="17"/>
    </row>
    <row r="55" spans="2:6" ht="22.5" customHeight="1" thickBot="1">
      <c r="B55" s="50"/>
      <c r="C55" s="4"/>
      <c r="D55" s="12"/>
      <c r="E55" s="12"/>
      <c r="F55" s="17"/>
    </row>
    <row r="56" spans="2:6" ht="22.5" customHeight="1">
      <c r="B56" s="60">
        <f>SUM(E56:E62)</f>
        <v>0</v>
      </c>
      <c r="C56" s="4"/>
      <c r="D56" s="12"/>
      <c r="E56" s="12"/>
      <c r="F56" s="17"/>
    </row>
    <row r="57" spans="2:6" ht="22.5" customHeight="1">
      <c r="B57" s="62"/>
      <c r="C57" s="4"/>
      <c r="D57" s="12"/>
      <c r="E57" s="12"/>
      <c r="F57" s="17"/>
    </row>
    <row r="58" spans="2:6" ht="22.5" customHeight="1">
      <c r="B58" s="62"/>
      <c r="C58" s="4"/>
      <c r="D58" s="12"/>
      <c r="E58" s="12"/>
      <c r="F58" s="17"/>
    </row>
    <row r="59" spans="2:6" ht="22.5" customHeight="1">
      <c r="B59" s="62"/>
      <c r="C59" s="4"/>
      <c r="D59" s="12"/>
      <c r="E59" s="12"/>
      <c r="F59" s="17"/>
    </row>
    <row r="60" spans="2:6" ht="22.5" customHeight="1">
      <c r="B60" s="62"/>
      <c r="C60" s="4"/>
      <c r="D60" s="12"/>
      <c r="E60" s="12"/>
      <c r="F60" s="17"/>
    </row>
    <row r="61" spans="2:6" ht="22.5" customHeight="1">
      <c r="B61" s="62"/>
      <c r="C61" s="4"/>
      <c r="D61" s="12"/>
      <c r="E61" s="12"/>
      <c r="F61" s="17"/>
    </row>
    <row r="62" spans="2:6" ht="22.5" customHeight="1">
      <c r="B62" s="62"/>
      <c r="C62" s="4"/>
      <c r="D62" s="12"/>
      <c r="E62" s="12"/>
      <c r="F62" s="17"/>
    </row>
    <row r="63" spans="2:6" ht="22.5" customHeight="1">
      <c r="B63" s="62">
        <f>SUM(E63:E64)</f>
        <v>0</v>
      </c>
      <c r="C63" s="4"/>
      <c r="D63" s="12"/>
      <c r="E63" s="12"/>
      <c r="F63" s="17"/>
    </row>
    <row r="64" spans="2:6" ht="22.5" customHeight="1">
      <c r="B64" s="62"/>
      <c r="C64" s="4"/>
      <c r="D64" s="12"/>
      <c r="E64" s="12"/>
      <c r="F64" s="17"/>
    </row>
    <row r="65" spans="2:6" ht="22.5" customHeight="1">
      <c r="B65" s="62">
        <f>SUM(E65:E71)</f>
        <v>0</v>
      </c>
      <c r="C65" s="4"/>
      <c r="D65" s="12"/>
      <c r="E65" s="12"/>
      <c r="F65" s="17"/>
    </row>
    <row r="66" spans="2:6" ht="22.5" customHeight="1">
      <c r="B66" s="62"/>
      <c r="C66" s="4"/>
      <c r="D66" s="12"/>
      <c r="E66" s="12"/>
      <c r="F66" s="17"/>
    </row>
    <row r="67" spans="2:6" ht="22.5" customHeight="1">
      <c r="B67" s="62"/>
      <c r="C67" s="4"/>
      <c r="D67" s="12"/>
      <c r="E67" s="12"/>
      <c r="F67" s="17"/>
    </row>
    <row r="68" spans="2:6" ht="22.5" customHeight="1">
      <c r="B68" s="62"/>
      <c r="C68" s="4"/>
      <c r="D68" s="12"/>
      <c r="E68" s="12"/>
      <c r="F68" s="17"/>
    </row>
    <row r="69" spans="2:6" ht="22.5" customHeight="1">
      <c r="B69" s="62"/>
      <c r="C69" s="4"/>
      <c r="D69" s="12"/>
      <c r="E69" s="12"/>
      <c r="F69" s="17"/>
    </row>
    <row r="70" spans="2:6" ht="22.5" customHeight="1">
      <c r="B70" s="62"/>
      <c r="C70" s="4"/>
      <c r="D70" s="12"/>
      <c r="E70" s="12"/>
      <c r="F70" s="17"/>
    </row>
    <row r="71" spans="2:6" ht="22.5" customHeight="1">
      <c r="B71" s="62"/>
      <c r="C71" s="4"/>
      <c r="D71" s="12"/>
      <c r="E71" s="12"/>
      <c r="F71" s="17"/>
    </row>
    <row r="72" spans="2:6" ht="22.5" customHeight="1">
      <c r="B72" s="62">
        <f>SUM(E72:E78)</f>
        <v>0</v>
      </c>
      <c r="C72" s="4"/>
      <c r="D72" s="12"/>
      <c r="E72" s="12"/>
      <c r="F72" s="17"/>
    </row>
    <row r="73" spans="2:6" ht="22.5" customHeight="1">
      <c r="B73" s="62"/>
      <c r="C73" s="4"/>
      <c r="D73" s="12"/>
      <c r="E73" s="12"/>
      <c r="F73" s="17"/>
    </row>
    <row r="74" spans="2:6" ht="22.5" customHeight="1">
      <c r="B74" s="62"/>
      <c r="C74" s="4"/>
      <c r="D74" s="12"/>
      <c r="E74" s="12"/>
      <c r="F74" s="17"/>
    </row>
    <row r="75" spans="2:6" ht="22.5" customHeight="1">
      <c r="B75" s="62"/>
      <c r="C75" s="4"/>
      <c r="D75" s="12"/>
      <c r="E75" s="12"/>
      <c r="F75" s="17"/>
    </row>
    <row r="76" spans="2:6" ht="22.5" customHeight="1">
      <c r="B76" s="62"/>
      <c r="C76" s="4"/>
      <c r="D76" s="12"/>
      <c r="E76" s="12"/>
      <c r="F76" s="17"/>
    </row>
    <row r="77" spans="2:6" ht="22.5" customHeight="1">
      <c r="B77" s="62"/>
      <c r="C77" s="4"/>
      <c r="D77" s="12"/>
      <c r="E77" s="12"/>
      <c r="F77" s="17"/>
    </row>
    <row r="78" spans="2:6" ht="22.5" customHeight="1">
      <c r="B78" s="62"/>
      <c r="C78" s="4"/>
      <c r="D78" s="12"/>
      <c r="E78" s="12"/>
      <c r="F78" s="17"/>
    </row>
    <row r="79" spans="2:6" ht="22.5" customHeight="1">
      <c r="B79" s="62">
        <f>SUM(E79:E85)</f>
        <v>0</v>
      </c>
      <c r="C79" s="4"/>
      <c r="D79" s="12"/>
      <c r="E79" s="12"/>
      <c r="F79" s="17"/>
    </row>
    <row r="80" spans="2:6" ht="22.5" customHeight="1">
      <c r="B80" s="62"/>
      <c r="C80" s="4"/>
      <c r="D80" s="12"/>
      <c r="E80" s="12"/>
      <c r="F80" s="17"/>
    </row>
    <row r="81" spans="2:6" ht="22.5" customHeight="1">
      <c r="B81" s="62"/>
      <c r="C81" s="4"/>
      <c r="D81" s="12"/>
      <c r="E81" s="12"/>
      <c r="F81" s="17"/>
    </row>
    <row r="82" spans="2:6" ht="22.5" customHeight="1">
      <c r="B82" s="62"/>
      <c r="C82" s="4"/>
      <c r="D82" s="12"/>
      <c r="E82" s="12"/>
      <c r="F82" s="17"/>
    </row>
    <row r="83" spans="2:6" ht="22.5" customHeight="1">
      <c r="B83" s="62"/>
      <c r="C83" s="4"/>
      <c r="D83" s="12"/>
      <c r="E83" s="12"/>
      <c r="F83" s="17"/>
    </row>
    <row r="84" spans="2:6" ht="22.5" customHeight="1">
      <c r="B84" s="62"/>
      <c r="C84" s="4"/>
      <c r="D84" s="12"/>
      <c r="E84" s="12"/>
      <c r="F84" s="17"/>
    </row>
    <row r="85" spans="2:6" ht="22.5" customHeight="1">
      <c r="B85" s="62"/>
      <c r="C85" s="4"/>
      <c r="D85" s="12"/>
      <c r="E85" s="12"/>
      <c r="F85" s="17"/>
    </row>
    <row r="86" spans="2:6" ht="22.5" customHeight="1">
      <c r="B86" s="62">
        <f>SUM(E86:E91)</f>
        <v>0</v>
      </c>
      <c r="C86" s="4"/>
      <c r="D86" s="12"/>
      <c r="E86" s="12"/>
      <c r="F86" s="17"/>
    </row>
    <row r="87" spans="2:6" ht="22.5" customHeight="1">
      <c r="B87" s="62"/>
      <c r="C87" s="4"/>
      <c r="D87" s="12"/>
      <c r="E87" s="12"/>
      <c r="F87" s="17"/>
    </row>
    <row r="88" spans="2:6" ht="22.5" customHeight="1">
      <c r="B88" s="62"/>
      <c r="C88" s="4"/>
      <c r="D88" s="12"/>
      <c r="E88" s="12"/>
      <c r="F88" s="17"/>
    </row>
    <row r="89" spans="2:6" ht="22.5" customHeight="1">
      <c r="B89" s="62"/>
      <c r="C89" s="4"/>
      <c r="D89" s="12"/>
      <c r="E89" s="12"/>
      <c r="F89" s="17"/>
    </row>
    <row r="90" spans="2:6" ht="22.5" customHeight="1">
      <c r="B90" s="62"/>
      <c r="C90" s="4"/>
      <c r="D90" s="12"/>
      <c r="E90" s="12"/>
      <c r="F90" s="17"/>
    </row>
    <row r="91" spans="2:6" ht="22.5" customHeight="1">
      <c r="B91" s="62"/>
      <c r="C91" s="4"/>
      <c r="D91" s="12"/>
      <c r="E91" s="12"/>
      <c r="F91" s="17"/>
    </row>
    <row r="92" spans="2:6" ht="22.5" customHeight="1">
      <c r="B92" s="62">
        <f>SUM(E92:E95)</f>
        <v>0</v>
      </c>
      <c r="C92" s="4"/>
      <c r="D92" s="12"/>
      <c r="E92" s="12"/>
      <c r="F92" s="17"/>
    </row>
    <row r="93" spans="2:6" ht="22.5" customHeight="1">
      <c r="B93" s="62"/>
      <c r="C93" s="4"/>
      <c r="D93" s="12"/>
      <c r="E93" s="12"/>
      <c r="F93" s="17"/>
    </row>
    <row r="94" spans="2:6" ht="22.5" customHeight="1">
      <c r="B94" s="62"/>
      <c r="C94" s="4"/>
      <c r="D94" s="12"/>
      <c r="E94" s="12"/>
      <c r="F94" s="17"/>
    </row>
    <row r="95" spans="2:6" ht="22.5" customHeight="1">
      <c r="B95" s="62"/>
      <c r="C95" s="4"/>
      <c r="D95" s="12"/>
      <c r="E95" s="12"/>
      <c r="F95" s="17"/>
    </row>
    <row r="96" spans="2:6" ht="22.5" customHeight="1">
      <c r="B96" s="47">
        <f>SUM(Tableau13456789[[#This Row],[PRIX]])</f>
        <v>0</v>
      </c>
      <c r="C96" s="4"/>
      <c r="D96" s="12"/>
      <c r="E96" s="12"/>
      <c r="F96" s="17"/>
    </row>
    <row r="97" spans="2:6" ht="22.5" customHeight="1">
      <c r="B97" s="62">
        <f>SUM(E97:E104)</f>
        <v>0</v>
      </c>
      <c r="C97" s="4"/>
      <c r="D97" s="12"/>
      <c r="E97" s="12"/>
      <c r="F97" s="17"/>
    </row>
    <row r="98" spans="2:6" ht="22.5" customHeight="1">
      <c r="B98" s="62"/>
      <c r="C98" s="4"/>
      <c r="D98" s="12"/>
      <c r="E98" s="12"/>
      <c r="F98" s="17"/>
    </row>
    <row r="99" spans="2:6" ht="22.5" customHeight="1">
      <c r="B99" s="62"/>
      <c r="C99" s="4"/>
      <c r="D99" s="12"/>
      <c r="E99" s="12"/>
      <c r="F99" s="17"/>
    </row>
    <row r="100" spans="2:6" ht="22.5" customHeight="1">
      <c r="B100" s="62"/>
      <c r="C100" s="4"/>
      <c r="D100" s="12"/>
      <c r="E100" s="12"/>
      <c r="F100" s="17"/>
    </row>
    <row r="101" spans="2:6" ht="22.5" customHeight="1">
      <c r="B101" s="62"/>
      <c r="C101" s="4"/>
      <c r="D101" s="12"/>
      <c r="E101" s="12"/>
      <c r="F101" s="17"/>
    </row>
    <row r="102" spans="2:6" ht="22.5" customHeight="1">
      <c r="B102" s="62"/>
      <c r="C102" s="4"/>
      <c r="D102" s="12"/>
      <c r="E102" s="12"/>
      <c r="F102" s="17"/>
    </row>
    <row r="103" spans="2:6" ht="22.5" customHeight="1">
      <c r="B103" s="62"/>
      <c r="C103" s="4"/>
      <c r="D103" s="12"/>
      <c r="E103" s="12"/>
      <c r="F103" s="17"/>
    </row>
    <row r="104" spans="2:6" ht="22.5" customHeight="1">
      <c r="B104" s="62"/>
      <c r="C104" s="4"/>
      <c r="D104" s="12"/>
      <c r="E104" s="12"/>
      <c r="F104" s="17"/>
    </row>
    <row r="105" spans="2:6" ht="22.5" customHeight="1">
      <c r="B105" s="47">
        <f>SUM(Tableau13456789[[#This Row],[PRIX]])</f>
        <v>0</v>
      </c>
      <c r="C105" s="4"/>
      <c r="D105" s="12"/>
      <c r="E105" s="12"/>
      <c r="F105" s="17"/>
    </row>
    <row r="106" spans="2:6" ht="22.5" customHeight="1">
      <c r="B106" s="62">
        <f>SUM(E106:E108)</f>
        <v>0</v>
      </c>
      <c r="C106" s="4"/>
      <c r="D106" s="12"/>
      <c r="E106" s="12"/>
      <c r="F106" s="17"/>
    </row>
    <row r="107" spans="2:6" ht="22.5" customHeight="1">
      <c r="B107" s="62"/>
      <c r="C107" s="4"/>
      <c r="D107" s="12"/>
      <c r="E107" s="12"/>
      <c r="F107" s="17"/>
    </row>
    <row r="108" spans="2:6" ht="22.5" customHeight="1">
      <c r="B108" s="62"/>
      <c r="C108" s="4"/>
      <c r="D108" s="12"/>
      <c r="E108" s="12"/>
      <c r="F108" s="17"/>
    </row>
    <row r="109" spans="2:6" ht="22.5" customHeight="1">
      <c r="C109" s="4"/>
      <c r="D109" s="12"/>
      <c r="E109" s="12"/>
      <c r="F109" s="17"/>
    </row>
    <row r="110" spans="2:6" ht="22.5" customHeight="1">
      <c r="C110" s="4"/>
      <c r="D110" s="12"/>
      <c r="E110" s="12"/>
      <c r="F110" s="17"/>
    </row>
    <row r="111" spans="2:6" ht="22.5" customHeight="1">
      <c r="C111" s="4"/>
      <c r="D111" s="12"/>
      <c r="E111" s="12"/>
      <c r="F111" s="17"/>
    </row>
    <row r="112" spans="2:6" ht="22.5" customHeight="1">
      <c r="C112" s="4"/>
      <c r="D112" s="12"/>
      <c r="E112" s="12"/>
      <c r="F112" s="17"/>
    </row>
    <row r="113" spans="3:6" ht="22.5" customHeight="1">
      <c r="C113" s="4"/>
      <c r="D113" s="12"/>
      <c r="E113" s="12"/>
      <c r="F113" s="17"/>
    </row>
    <row r="114" spans="3:6" ht="22.5" customHeight="1">
      <c r="C114" s="4"/>
      <c r="D114" s="12"/>
      <c r="E114" s="12"/>
      <c r="F114" s="17"/>
    </row>
    <row r="115" spans="3:6" ht="22.5" customHeight="1">
      <c r="C115" s="4"/>
      <c r="D115" s="12"/>
      <c r="E115" s="12"/>
      <c r="F115" s="17"/>
    </row>
    <row r="116" spans="3:6" ht="22.5" customHeight="1">
      <c r="C116" s="4"/>
      <c r="D116" s="12"/>
      <c r="E116" s="12"/>
      <c r="F116" s="17"/>
    </row>
    <row r="117" spans="3:6" ht="22.5" customHeight="1">
      <c r="C117" s="4"/>
      <c r="D117" s="12"/>
      <c r="E117" s="12"/>
      <c r="F117" s="17"/>
    </row>
    <row r="118" spans="3:6" ht="22.5" customHeight="1">
      <c r="C118" s="4"/>
      <c r="D118" s="12"/>
      <c r="E118" s="12"/>
      <c r="F118" s="17"/>
    </row>
    <row r="119" spans="3:6" ht="22.5" customHeight="1">
      <c r="C119" s="4"/>
      <c r="D119" s="12"/>
      <c r="E119" s="12"/>
      <c r="F119" s="17"/>
    </row>
    <row r="120" spans="3:6" ht="22.5" customHeight="1">
      <c r="C120" s="4"/>
      <c r="D120" s="12"/>
      <c r="E120" s="12"/>
      <c r="F120" s="17"/>
    </row>
    <row r="121" spans="3:6" ht="22.5" customHeight="1">
      <c r="C121" s="4"/>
      <c r="D121" s="12"/>
      <c r="E121" s="12"/>
      <c r="F121" s="17"/>
    </row>
    <row r="122" spans="3:6" ht="22.5" customHeight="1">
      <c r="C122" s="4"/>
      <c r="D122" s="12"/>
      <c r="E122" s="12"/>
      <c r="F122" s="17"/>
    </row>
    <row r="123" spans="3:6" ht="22.5" customHeight="1">
      <c r="C123" s="4"/>
      <c r="D123" s="12"/>
      <c r="E123" s="12"/>
      <c r="F123" s="17"/>
    </row>
    <row r="124" spans="3:6" ht="22.5" customHeight="1">
      <c r="C124" s="4"/>
      <c r="D124" s="12"/>
      <c r="E124" s="12"/>
      <c r="F124" s="17"/>
    </row>
    <row r="125" spans="3:6" ht="22.5" customHeight="1">
      <c r="C125" s="4"/>
      <c r="D125" s="12"/>
      <c r="E125" s="12"/>
      <c r="F125" s="17"/>
    </row>
    <row r="126" spans="3:6" ht="22.5" customHeight="1">
      <c r="C126" s="4"/>
      <c r="D126" s="12"/>
      <c r="E126" s="12"/>
      <c r="F126" s="17"/>
    </row>
    <row r="127" spans="3:6" ht="22.5" customHeight="1">
      <c r="C127" s="4"/>
      <c r="D127" s="12"/>
      <c r="E127" s="12"/>
      <c r="F127" s="17"/>
    </row>
    <row r="128" spans="3:6" ht="22.5" customHeight="1">
      <c r="C128" s="4"/>
      <c r="D128" s="12"/>
      <c r="E128" s="12"/>
      <c r="F128" s="17"/>
    </row>
    <row r="129" spans="3:6" ht="22.5" customHeight="1">
      <c r="C129" s="4"/>
      <c r="D129" s="12"/>
      <c r="E129" s="12"/>
      <c r="F129" s="17"/>
    </row>
    <row r="130" spans="3:6" ht="22.5" customHeight="1">
      <c r="C130" s="4"/>
      <c r="D130" s="12"/>
      <c r="E130" s="12"/>
      <c r="F130" s="17"/>
    </row>
    <row r="131" spans="3:6" ht="22.5" customHeight="1">
      <c r="C131" s="4"/>
      <c r="D131" s="12"/>
      <c r="E131" s="12"/>
      <c r="F131" s="17"/>
    </row>
    <row r="132" spans="3:6" ht="22.5" customHeight="1">
      <c r="C132" s="4"/>
      <c r="D132" s="12"/>
      <c r="E132" s="12"/>
      <c r="F132" s="17"/>
    </row>
    <row r="133" spans="3:6" ht="22.5" customHeight="1">
      <c r="C133" s="4"/>
      <c r="D133" s="12"/>
      <c r="E133" s="12"/>
      <c r="F133" s="17"/>
    </row>
    <row r="134" spans="3:6" ht="22.5" customHeight="1">
      <c r="C134" s="4"/>
      <c r="D134" s="12"/>
      <c r="E134" s="12"/>
      <c r="F134" s="17"/>
    </row>
    <row r="135" spans="3:6" ht="22.5" customHeight="1">
      <c r="C135" s="4"/>
      <c r="D135" s="12"/>
      <c r="E135" s="12"/>
      <c r="F135" s="17"/>
    </row>
    <row r="136" spans="3:6" ht="22.5" customHeight="1">
      <c r="C136" s="4"/>
      <c r="D136" s="12"/>
      <c r="E136" s="12"/>
      <c r="F136" s="17"/>
    </row>
    <row r="137" spans="3:6" ht="22.5" customHeight="1">
      <c r="C137" s="4"/>
      <c r="D137" s="12"/>
      <c r="E137" s="12"/>
      <c r="F137" s="17"/>
    </row>
    <row r="138" spans="3:6" ht="22.5" customHeight="1">
      <c r="C138" s="4"/>
      <c r="D138" s="12"/>
      <c r="E138" s="12"/>
      <c r="F138" s="17"/>
    </row>
    <row r="139" spans="3:6" ht="22.5" customHeight="1">
      <c r="C139" s="4"/>
      <c r="D139" s="12"/>
      <c r="E139" s="12"/>
      <c r="F139" s="17"/>
    </row>
    <row r="140" spans="3:6" ht="22.5" customHeight="1">
      <c r="C140" s="4"/>
      <c r="D140" s="12"/>
      <c r="E140" s="12"/>
      <c r="F140" s="17"/>
    </row>
    <row r="141" spans="3:6" ht="22.5" customHeight="1">
      <c r="C141" s="4"/>
      <c r="D141" s="12"/>
      <c r="E141" s="12"/>
      <c r="F141" s="17"/>
    </row>
    <row r="142" spans="3:6" ht="22.5" customHeight="1">
      <c r="C142" s="4"/>
      <c r="D142" s="12"/>
      <c r="E142" s="12"/>
      <c r="F142" s="17"/>
    </row>
    <row r="143" spans="3:6" ht="22.5" customHeight="1">
      <c r="C143" s="4"/>
      <c r="D143" s="12"/>
      <c r="E143" s="12"/>
      <c r="F143" s="17"/>
    </row>
    <row r="144" spans="3:6" ht="22.5" customHeight="1">
      <c r="C144" s="4"/>
      <c r="D144" s="12"/>
      <c r="E144" s="12"/>
      <c r="F144" s="17"/>
    </row>
    <row r="145" spans="3:6" ht="22.5" customHeight="1">
      <c r="C145" s="4"/>
      <c r="D145" s="12"/>
      <c r="E145" s="12"/>
      <c r="F145" s="17"/>
    </row>
    <row r="146" spans="3:6" ht="22.5" customHeight="1">
      <c r="C146" s="4"/>
      <c r="D146" s="12"/>
      <c r="E146" s="12"/>
      <c r="F146" s="17"/>
    </row>
    <row r="147" spans="3:6" ht="22.5" customHeight="1">
      <c r="C147" s="4"/>
      <c r="D147" s="12"/>
      <c r="E147" s="12"/>
      <c r="F147" s="17"/>
    </row>
    <row r="148" spans="3:6" ht="22.5" customHeight="1">
      <c r="C148" s="4"/>
      <c r="D148" s="12"/>
      <c r="E148" s="12"/>
      <c r="F148" s="17"/>
    </row>
    <row r="149" spans="3:6" ht="22.5" customHeight="1">
      <c r="C149" s="4"/>
      <c r="D149" s="12"/>
      <c r="E149" s="12"/>
      <c r="F149" s="17"/>
    </row>
    <row r="150" spans="3:6" ht="22.5" customHeight="1">
      <c r="C150" s="4"/>
      <c r="D150" s="12"/>
      <c r="E150" s="12"/>
      <c r="F150" s="17"/>
    </row>
    <row r="151" spans="3:6" ht="22.5" customHeight="1">
      <c r="C151" s="4"/>
      <c r="D151" s="12"/>
      <c r="E151" s="12"/>
      <c r="F151" s="17"/>
    </row>
    <row r="152" spans="3:6" ht="22.5" customHeight="1">
      <c r="C152" s="4"/>
      <c r="D152" s="12"/>
      <c r="E152" s="12"/>
      <c r="F152" s="17"/>
    </row>
    <row r="153" spans="3:6" ht="22.5" customHeight="1">
      <c r="C153" s="4"/>
      <c r="D153" s="12"/>
      <c r="E153" s="12"/>
      <c r="F153" s="17"/>
    </row>
    <row r="154" spans="3:6" ht="22.5" customHeight="1">
      <c r="C154" s="4"/>
      <c r="D154" s="12"/>
      <c r="E154" s="12"/>
      <c r="F154" s="17"/>
    </row>
    <row r="155" spans="3:6" ht="22.5" customHeight="1">
      <c r="C155" s="4"/>
      <c r="D155" s="12"/>
      <c r="E155" s="12"/>
      <c r="F155" s="17"/>
    </row>
    <row r="156" spans="3:6" ht="22.5" customHeight="1">
      <c r="C156" s="4"/>
      <c r="D156" s="12"/>
      <c r="E156" s="12"/>
      <c r="F156" s="17"/>
    </row>
    <row r="157" spans="3:6" ht="22.5" customHeight="1">
      <c r="C157" s="4"/>
      <c r="D157" s="12"/>
      <c r="E157" s="12"/>
      <c r="F157" s="17"/>
    </row>
    <row r="158" spans="3:6" ht="22.5" customHeight="1">
      <c r="C158" s="4"/>
      <c r="D158" s="12"/>
      <c r="E158" s="12"/>
      <c r="F158" s="17"/>
    </row>
    <row r="159" spans="3:6" ht="22.5" customHeight="1">
      <c r="C159" s="4"/>
      <c r="D159" s="12"/>
      <c r="E159" s="12"/>
      <c r="F159" s="17"/>
    </row>
    <row r="160" spans="3:6" ht="22.5" customHeight="1">
      <c r="C160" s="4"/>
      <c r="D160" s="12"/>
      <c r="E160" s="12"/>
      <c r="F160" s="17"/>
    </row>
    <row r="161" spans="3:6" ht="22.5" customHeight="1">
      <c r="C161" s="4"/>
      <c r="D161" s="12"/>
      <c r="E161" s="12"/>
      <c r="F161" s="17"/>
    </row>
    <row r="162" spans="3:6" ht="22.5" customHeight="1">
      <c r="C162" s="4"/>
      <c r="D162" s="12"/>
      <c r="E162" s="12"/>
      <c r="F162" s="17"/>
    </row>
    <row r="163" spans="3:6" ht="22.5" customHeight="1">
      <c r="C163" s="4"/>
      <c r="D163" s="12"/>
      <c r="E163" s="12"/>
      <c r="F163" s="17"/>
    </row>
    <row r="164" spans="3:6" ht="22.5" customHeight="1">
      <c r="C164" s="4"/>
      <c r="D164" s="12"/>
      <c r="E164" s="12"/>
      <c r="F164" s="17"/>
    </row>
    <row r="165" spans="3:6" ht="22.5" customHeight="1">
      <c r="C165" s="4"/>
      <c r="D165" s="12"/>
      <c r="E165" s="12"/>
      <c r="F165" s="17"/>
    </row>
    <row r="166" spans="3:6" ht="22.5" customHeight="1">
      <c r="C166" s="4"/>
      <c r="D166" s="12"/>
      <c r="E166" s="12"/>
      <c r="F166" s="17"/>
    </row>
    <row r="167" spans="3:6" ht="22.5" customHeight="1">
      <c r="C167" s="4"/>
      <c r="D167" s="12"/>
      <c r="E167" s="12"/>
      <c r="F167" s="17"/>
    </row>
    <row r="168" spans="3:6" ht="22.5" customHeight="1">
      <c r="C168" s="4"/>
      <c r="D168" s="12"/>
      <c r="E168" s="12"/>
      <c r="F168" s="17"/>
    </row>
    <row r="169" spans="3:6" ht="22.5" customHeight="1">
      <c r="C169" s="4"/>
      <c r="D169" s="12"/>
      <c r="E169" s="12"/>
      <c r="F169" s="17"/>
    </row>
    <row r="170" spans="3:6" ht="22.5" customHeight="1">
      <c r="C170" s="4"/>
      <c r="D170" s="12"/>
      <c r="E170" s="12"/>
      <c r="F170" s="17"/>
    </row>
    <row r="171" spans="3:6" ht="22.5" customHeight="1">
      <c r="C171" s="4"/>
      <c r="D171" s="12"/>
      <c r="E171" s="12"/>
      <c r="F171" s="17"/>
    </row>
    <row r="172" spans="3:6" ht="22.5" customHeight="1">
      <c r="C172" s="4"/>
      <c r="D172" s="12"/>
      <c r="E172" s="12"/>
      <c r="F172" s="17"/>
    </row>
    <row r="173" spans="3:6" ht="22.5" customHeight="1">
      <c r="C173" s="4"/>
      <c r="D173" s="12"/>
      <c r="E173" s="12"/>
      <c r="F173" s="17"/>
    </row>
    <row r="174" spans="3:6" ht="22.5" customHeight="1">
      <c r="C174" s="4"/>
      <c r="D174" s="12"/>
      <c r="E174" s="12"/>
      <c r="F174" s="17"/>
    </row>
    <row r="175" spans="3:6" ht="22.5" customHeight="1">
      <c r="C175" s="4"/>
      <c r="D175" s="12"/>
      <c r="E175" s="12"/>
      <c r="F175" s="17"/>
    </row>
    <row r="176" spans="3:6" ht="22.5" customHeight="1">
      <c r="C176" s="4"/>
      <c r="D176" s="12"/>
      <c r="E176" s="12"/>
      <c r="F176" s="17"/>
    </row>
    <row r="177" spans="3:6" ht="22.5" customHeight="1">
      <c r="C177" s="4"/>
      <c r="D177" s="12"/>
      <c r="E177" s="12"/>
      <c r="F177" s="17"/>
    </row>
    <row r="178" spans="3:6" ht="22.5" customHeight="1">
      <c r="C178" s="4"/>
      <c r="D178" s="12"/>
      <c r="E178" s="12"/>
      <c r="F178" s="17"/>
    </row>
    <row r="179" spans="3:6" ht="22.5" customHeight="1">
      <c r="C179" s="4"/>
      <c r="D179" s="12"/>
      <c r="E179" s="12"/>
      <c r="F179" s="17"/>
    </row>
    <row r="180" spans="3:6" ht="22.5" customHeight="1">
      <c r="C180" s="4"/>
      <c r="D180" s="12"/>
      <c r="E180" s="12"/>
      <c r="F180" s="17"/>
    </row>
    <row r="181" spans="3:6" ht="22.5" customHeight="1">
      <c r="C181" s="43"/>
      <c r="D181" s="12"/>
      <c r="E181" s="12"/>
      <c r="F181" s="17"/>
    </row>
  </sheetData>
  <mergeCells count="20">
    <mergeCell ref="B97:B104"/>
    <mergeCell ref="B106:B108"/>
    <mergeCell ref="B63:B64"/>
    <mergeCell ref="B65:B71"/>
    <mergeCell ref="B72:B78"/>
    <mergeCell ref="B79:B85"/>
    <mergeCell ref="B86:B91"/>
    <mergeCell ref="B92:B95"/>
    <mergeCell ref="B19:B24"/>
    <mergeCell ref="B25:B31"/>
    <mergeCell ref="B32:B34"/>
    <mergeCell ref="B45:B46"/>
    <mergeCell ref="B47:B55"/>
    <mergeCell ref="B56:B62"/>
    <mergeCell ref="C1:E2"/>
    <mergeCell ref="F1:F2"/>
    <mergeCell ref="B4:B8"/>
    <mergeCell ref="B9:B11"/>
    <mergeCell ref="B13:B15"/>
    <mergeCell ref="B16:B18"/>
  </mergeCells>
  <conditionalFormatting sqref="E29:E1048576 E1:E9 E11:E24">
    <cfRule type="cellIs" dxfId="11" priority="1" operator="between">
      <formula>100</formula>
      <formula>1000</formula>
    </cfRule>
    <cfRule type="timePeriod" dxfId="10" priority="2" timePeriod="today">
      <formula>FLOOR(E1,1)=TODAY()</formula>
    </cfRule>
    <cfRule type="cellIs" dxfId="9" priority="3" operator="between">
      <formula>100</formula>
      <formula>500</formula>
    </cfRule>
    <cfRule type="colorScale" priority="4">
      <colorScale>
        <cfvo type="min" val="0"/>
        <cfvo type="max" val="0"/>
        <color rgb="FF63BE7B"/>
        <color rgb="FFFFEF9C"/>
      </colorScale>
    </cfRule>
    <cfRule type="top10" dxfId="8" priority="5" percent="1" rank="10"/>
    <cfRule type="dataBar" priority="6">
      <dataBar>
        <cfvo type="min" val="0"/>
        <cfvo type="max" val="0"/>
        <color rgb="FFD6007B"/>
      </dataBar>
    </cfRule>
  </conditionalFormatting>
  <pageMargins left="0.7" right="0.7" top="0.75" bottom="0.75" header="0.3" footer="0.3"/>
  <pageSetup paperSize="9"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sept</vt:lpstr>
      <vt:lpstr>octo</vt:lpstr>
      <vt:lpstr>nov</vt:lpstr>
      <vt:lpstr>des</vt:lpstr>
      <vt:lpstr>JANV</vt:lpstr>
      <vt:lpstr>fevr</vt:lpstr>
      <vt:lpstr>mars</vt:lpstr>
      <vt:lpstr>avr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2026-04-09T00:15:59Z</dcterms:modified>
</cp:coreProperties>
</file>