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 activeTab="3"/>
  </bookViews>
  <sheets>
    <sheet name="Feuil1" sheetId="1" r:id="rId1"/>
    <sheet name="Feuil2" sheetId="2" r:id="rId2"/>
    <sheet name="Feuil3" sheetId="3" r:id="rId3"/>
    <sheet name="Feuil2 (2)" sheetId="4" r:id="rId4"/>
  </sheets>
  <calcPr calcId="124519"/>
</workbook>
</file>

<file path=xl/calcChain.xml><?xml version="1.0" encoding="utf-8"?>
<calcChain xmlns="http://schemas.openxmlformats.org/spreadsheetml/2006/main">
  <c r="G13" i="4"/>
  <c r="G14"/>
  <c r="G15"/>
  <c r="G16"/>
  <c r="G17"/>
  <c r="G18"/>
  <c r="G19"/>
  <c r="G12"/>
  <c r="F13"/>
  <c r="F14"/>
  <c r="F15"/>
  <c r="F16"/>
  <c r="F17"/>
  <c r="F18"/>
  <c r="F19"/>
  <c r="F12"/>
  <c r="E13"/>
  <c r="E14"/>
  <c r="E15"/>
  <c r="E16"/>
  <c r="E17"/>
  <c r="E18"/>
  <c r="E19"/>
  <c r="E12"/>
  <c r="C13"/>
  <c r="C17"/>
  <c r="C18"/>
  <c r="C16"/>
  <c r="C14"/>
  <c r="C15"/>
  <c r="C19"/>
  <c r="C12"/>
  <c r="C5"/>
  <c r="C6"/>
  <c r="C7"/>
  <c r="C8"/>
  <c r="C4"/>
  <c r="E4" s="1"/>
  <c r="F4" s="1"/>
  <c r="E8"/>
  <c r="F8" s="1"/>
  <c r="E7"/>
  <c r="F7" s="1"/>
  <c r="E6"/>
  <c r="F6" s="1"/>
  <c r="E5"/>
  <c r="F5" s="1"/>
  <c r="G10" i="3"/>
  <c r="F10"/>
  <c r="E10"/>
  <c r="C10"/>
  <c r="C9"/>
  <c r="E9" s="1"/>
  <c r="C6"/>
  <c r="C7"/>
  <c r="E7" s="1"/>
  <c r="C8"/>
  <c r="C5"/>
  <c r="C35" i="2"/>
  <c r="C34"/>
  <c r="C33"/>
  <c r="C32"/>
  <c r="C31"/>
  <c r="C23"/>
  <c r="C24"/>
  <c r="C25"/>
  <c r="C26"/>
  <c r="C22"/>
  <c r="C4"/>
  <c r="C5"/>
  <c r="C6"/>
  <c r="C7"/>
  <c r="C8"/>
  <c r="C9"/>
  <c r="C10"/>
  <c r="C3"/>
  <c r="C15"/>
  <c r="C16"/>
  <c r="C17"/>
  <c r="C18"/>
  <c r="C19"/>
  <c r="C14"/>
  <c r="E6" i="3"/>
  <c r="F6" s="1"/>
  <c r="E8"/>
  <c r="E5"/>
  <c r="F5" s="1"/>
  <c r="G5" s="1"/>
  <c r="G4" i="4" l="1"/>
  <c r="G5"/>
  <c r="G6"/>
  <c r="G7"/>
  <c r="G8"/>
  <c r="G9" i="3"/>
  <c r="F9"/>
  <c r="F8"/>
  <c r="G8" s="1"/>
  <c r="G6"/>
  <c r="F7"/>
  <c r="G7" s="1"/>
  <c r="E3" i="2"/>
  <c r="F3" s="1"/>
  <c r="G3" s="1"/>
  <c r="E19"/>
  <c r="F19" s="1"/>
  <c r="E18"/>
  <c r="F18" s="1"/>
  <c r="G18" s="1"/>
  <c r="E17"/>
  <c r="F17" s="1"/>
  <c r="G17" s="1"/>
  <c r="E9"/>
  <c r="E10"/>
  <c r="F10" s="1"/>
  <c r="G10" s="1"/>
  <c r="E6"/>
  <c r="F6" s="1"/>
  <c r="E35"/>
  <c r="E34"/>
  <c r="F34" s="1"/>
  <c r="E33"/>
  <c r="F33" s="1"/>
  <c r="E32"/>
  <c r="F32" s="1"/>
  <c r="G32" s="1"/>
  <c r="E31"/>
  <c r="F31" s="1"/>
  <c r="E26"/>
  <c r="E25"/>
  <c r="F25" s="1"/>
  <c r="E24"/>
  <c r="F24" s="1"/>
  <c r="E23"/>
  <c r="F23" s="1"/>
  <c r="E22"/>
  <c r="F22" s="1"/>
  <c r="G22" s="1"/>
  <c r="E16"/>
  <c r="F16" s="1"/>
  <c r="E15"/>
  <c r="F15" s="1"/>
  <c r="G15" s="1"/>
  <c r="E14"/>
  <c r="F14" s="1"/>
  <c r="E4"/>
  <c r="E5"/>
  <c r="F5" s="1"/>
  <c r="E7"/>
  <c r="E8"/>
  <c r="F4" i="1"/>
  <c r="E4"/>
  <c r="D4"/>
  <c r="G31" i="2" l="1"/>
  <c r="G6"/>
  <c r="G14"/>
  <c r="G16"/>
  <c r="G24"/>
  <c r="G34"/>
  <c r="F35"/>
  <c r="G35" s="1"/>
  <c r="G19"/>
  <c r="F26"/>
  <c r="G26" s="1"/>
  <c r="F9"/>
  <c r="G9" s="1"/>
  <c r="G33"/>
  <c r="G25"/>
  <c r="G23"/>
  <c r="G5"/>
  <c r="F7"/>
  <c r="G7" s="1"/>
  <c r="F8"/>
  <c r="G8" s="1"/>
  <c r="F4"/>
  <c r="G4" s="1"/>
</calcChain>
</file>

<file path=xl/sharedStrings.xml><?xml version="1.0" encoding="utf-8"?>
<sst xmlns="http://schemas.openxmlformats.org/spreadsheetml/2006/main" count="91" uniqueCount="61">
  <si>
    <t xml:space="preserve">CHARG CRAD </t>
  </si>
  <si>
    <t>USDTCOST</t>
  </si>
  <si>
    <t>RATE</t>
  </si>
  <si>
    <t>AMOUTAFTERFEE</t>
  </si>
  <si>
    <t>SERICE FEE</t>
  </si>
  <si>
    <t>TOTAL</t>
  </si>
  <si>
    <t>PROFIT</t>
  </si>
  <si>
    <t>GO 2</t>
  </si>
  <si>
    <t>PLUS 1M</t>
  </si>
  <si>
    <t>PLUS 2M</t>
  </si>
  <si>
    <t>PRO 1M</t>
  </si>
  <si>
    <t>PRO 2M</t>
  </si>
  <si>
    <t>CHAGPT GO 1M 5$ SWYPE</t>
  </si>
  <si>
    <t>CRYPTOMATE</t>
  </si>
  <si>
    <t>SWYPE 5$</t>
  </si>
  <si>
    <t>SWYPE 10$</t>
  </si>
  <si>
    <t>SWYPE 20$</t>
  </si>
  <si>
    <t>SWYPE 50$</t>
  </si>
  <si>
    <t>OFFGAMERS</t>
  </si>
  <si>
    <t>SWYPE 100$</t>
  </si>
  <si>
    <t>REWARBLE 20$</t>
  </si>
  <si>
    <t>CHAGPT GO 2M 10$ SWYPE</t>
  </si>
  <si>
    <t>CHAGPT PLUS 1M 20$ SWYPE</t>
  </si>
  <si>
    <t>CHAGPT PRO 1M 200$ SWYPE</t>
  </si>
  <si>
    <t>CHAGPT PRO 2M 400$ SWYPE</t>
  </si>
  <si>
    <t>CHAGPT PLUS 2M 40$ SWYPE</t>
  </si>
  <si>
    <t>SWYPE 40$</t>
  </si>
  <si>
    <t>SWYPE 200$</t>
  </si>
  <si>
    <t>SWYPE 400$</t>
  </si>
  <si>
    <t>FB ADS 5$ SWYPE</t>
  </si>
  <si>
    <t>FB ADS 10$ SWYPE</t>
  </si>
  <si>
    <t>FB ADS 20$ SWYPE</t>
  </si>
  <si>
    <t>FB ADS 50$ SWYPE</t>
  </si>
  <si>
    <t>FB ADS 100$ SWYPE</t>
  </si>
  <si>
    <t>TIKTOK ADS 5$ SWYPE</t>
  </si>
  <si>
    <t>TIKTOK ADS 10$ SWYPE</t>
  </si>
  <si>
    <t>TIKTOK ADS 20$ SWYPE</t>
  </si>
  <si>
    <t>TIKTOK ADS 50$ SWYPE</t>
  </si>
  <si>
    <t>TIKTOK ADS 100$ SWYPE</t>
  </si>
  <si>
    <t>SEAGM</t>
  </si>
  <si>
    <t>REWARBLE 50$</t>
  </si>
  <si>
    <t>REWARBLE 60$</t>
  </si>
  <si>
    <t>REWARBLE 100$</t>
  </si>
  <si>
    <t>REWARBLE 500$</t>
  </si>
  <si>
    <t>REWARBLE 1000$</t>
  </si>
  <si>
    <t>KRIPTOMAT</t>
  </si>
  <si>
    <t>TOKEN</t>
  </si>
  <si>
    <t>CHAGPT GO 1M 6$ Rewarble</t>
  </si>
  <si>
    <t>CHAGPT GO 2M 12$ Rewarble</t>
  </si>
  <si>
    <t>CHAGPT PLUS 1M 22$ Rewarble</t>
  </si>
  <si>
    <t>CHAGPT PLUS 2M 45$ Rewarble</t>
  </si>
  <si>
    <t>Pack 250$ Rewarble</t>
  </si>
  <si>
    <t>TOOD MOBILE 2M 6$</t>
  </si>
  <si>
    <t>TOOD MOBILE 1Y 30$</t>
  </si>
  <si>
    <t>TOOD HD 1M 8$</t>
  </si>
  <si>
    <t>TOOD HD 2M 16$</t>
  </si>
  <si>
    <t>TOOD HD 1Y 80$</t>
  </si>
  <si>
    <t>TOOD 4K/HDR 1M 15$</t>
  </si>
  <si>
    <t>TOOD 4K/HDR 2M 30$</t>
  </si>
  <si>
    <t>TOOD 4K/HDR 1Y 145$</t>
  </si>
  <si>
    <t>SWYPE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</si>
</sst>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10"/>
  <sheetViews>
    <sheetView workbookViewId="0">
      <selection activeCell="A4" sqref="A4"/>
    </sheetView>
  </sheetViews>
  <sheetFormatPr baseColWidth="10" defaultRowHeight="15"/>
  <cols>
    <col min="1" max="1" width="35" customWidth="1"/>
    <col min="2" max="2" width="37.42578125" customWidth="1"/>
    <col min="4" max="4" width="36.5703125" customWidth="1"/>
    <col min="5" max="5" width="19.5703125" customWidth="1"/>
    <col min="6" max="6" width="19.42578125" customWidth="1"/>
    <col min="7" max="7" width="14.140625" customWidth="1"/>
  </cols>
  <sheetData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4" spans="1:7">
      <c r="A4" t="s">
        <v>12</v>
      </c>
      <c r="B4">
        <v>10</v>
      </c>
      <c r="C4">
        <v>43</v>
      </c>
      <c r="D4">
        <f>B4*C4</f>
        <v>430</v>
      </c>
      <c r="E4">
        <f>D4*0.12</f>
        <v>51.6</v>
      </c>
      <c r="F4">
        <f>D4+E4</f>
        <v>481.6</v>
      </c>
    </row>
    <row r="5" spans="1:7">
      <c r="A5" t="s">
        <v>7</v>
      </c>
    </row>
    <row r="7" spans="1:7">
      <c r="A7" t="s">
        <v>8</v>
      </c>
    </row>
    <row r="8" spans="1:7">
      <c r="A8" t="s">
        <v>9</v>
      </c>
    </row>
    <row r="9" spans="1:7">
      <c r="A9" t="s">
        <v>10</v>
      </c>
    </row>
    <row r="10" spans="1:7">
      <c r="A10" t="s">
        <v>11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B1:I35"/>
  <sheetViews>
    <sheetView zoomScale="115" zoomScaleNormal="115" workbookViewId="0">
      <pane ySplit="1" topLeftCell="A22" activePane="bottomLeft" state="frozen"/>
      <selection pane="bottomLeft" activeCell="K11" sqref="K11"/>
    </sheetView>
  </sheetViews>
  <sheetFormatPr baseColWidth="10" defaultRowHeight="15"/>
  <cols>
    <col min="1" max="1" width="11.42578125" style="1"/>
    <col min="2" max="2" width="27.28515625" style="1" bestFit="1" customWidth="1"/>
    <col min="3" max="4" width="11.42578125" style="1"/>
    <col min="5" max="5" width="16.28515625" style="1" bestFit="1" customWidth="1"/>
    <col min="6" max="7" width="11.42578125" style="1"/>
    <col min="8" max="8" width="12.85546875" style="1" bestFit="1" customWidth="1"/>
    <col min="9" max="9" width="11.85546875" style="1" bestFit="1" customWidth="1"/>
    <col min="10" max="16384" width="11.42578125" style="1"/>
  </cols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13</v>
      </c>
      <c r="I1" s="1" t="s">
        <v>18</v>
      </c>
    </row>
    <row r="3" spans="2:9">
      <c r="B3" s="1" t="s">
        <v>14</v>
      </c>
      <c r="C3" s="1">
        <f>I3+0.5</f>
        <v>5.89</v>
      </c>
      <c r="D3" s="1">
        <v>43</v>
      </c>
      <c r="E3" s="1">
        <f>C3*D3</f>
        <v>253.26999999999998</v>
      </c>
      <c r="F3" s="1">
        <f>E3*0.12</f>
        <v>30.392399999999995</v>
      </c>
      <c r="G3" s="1">
        <f>E3+F3</f>
        <v>283.66239999999999</v>
      </c>
      <c r="H3" s="1">
        <v>5.17</v>
      </c>
      <c r="I3" s="1">
        <v>5.39</v>
      </c>
    </row>
    <row r="4" spans="2:9">
      <c r="B4" s="1" t="s">
        <v>15</v>
      </c>
      <c r="C4" s="1">
        <f t="shared" ref="C4:C10" si="0">I4+0.5</f>
        <v>11.29</v>
      </c>
      <c r="D4" s="1">
        <v>43</v>
      </c>
      <c r="E4" s="1">
        <f t="shared" ref="E4:E10" si="1">C4*D4</f>
        <v>485.46999999999997</v>
      </c>
      <c r="F4" s="1">
        <f t="shared" ref="F4:F10" si="2">E4*0.12</f>
        <v>58.256399999999992</v>
      </c>
      <c r="G4" s="1">
        <f t="shared" ref="G4:G10" si="3">E4+F4</f>
        <v>543.72640000000001</v>
      </c>
      <c r="H4" s="1">
        <v>10.35</v>
      </c>
      <c r="I4" s="1">
        <v>10.79</v>
      </c>
    </row>
    <row r="5" spans="2:9">
      <c r="B5" s="1" t="s">
        <v>16</v>
      </c>
      <c r="C5" s="1">
        <f t="shared" si="0"/>
        <v>22.11</v>
      </c>
      <c r="D5" s="1">
        <v>43</v>
      </c>
      <c r="E5" s="1">
        <f t="shared" si="1"/>
        <v>950.73</v>
      </c>
      <c r="F5" s="1">
        <f t="shared" si="2"/>
        <v>114.08759999999999</v>
      </c>
      <c r="G5" s="1">
        <f t="shared" si="3"/>
        <v>1064.8176000000001</v>
      </c>
      <c r="H5" s="1">
        <v>20.7</v>
      </c>
      <c r="I5" s="1">
        <v>21.61</v>
      </c>
    </row>
    <row r="6" spans="2:9">
      <c r="B6" s="1" t="s">
        <v>26</v>
      </c>
      <c r="C6" s="1">
        <f t="shared" si="0"/>
        <v>43.7</v>
      </c>
      <c r="D6" s="1">
        <v>43</v>
      </c>
      <c r="E6" s="1">
        <f t="shared" si="1"/>
        <v>1879.1000000000001</v>
      </c>
      <c r="F6" s="1">
        <f t="shared" si="2"/>
        <v>225.49200000000002</v>
      </c>
      <c r="G6" s="1">
        <f t="shared" si="3"/>
        <v>2104.5920000000001</v>
      </c>
      <c r="H6" s="1">
        <v>41.41</v>
      </c>
      <c r="I6" s="1">
        <v>43.2</v>
      </c>
    </row>
    <row r="7" spans="2:9">
      <c r="B7" s="1" t="s">
        <v>17</v>
      </c>
      <c r="C7" s="1">
        <f t="shared" si="0"/>
        <v>54.52</v>
      </c>
      <c r="D7" s="1">
        <v>43</v>
      </c>
      <c r="E7" s="1">
        <f t="shared" si="1"/>
        <v>2344.36</v>
      </c>
      <c r="F7" s="1">
        <f t="shared" si="2"/>
        <v>281.32319999999999</v>
      </c>
      <c r="G7" s="1">
        <f t="shared" si="3"/>
        <v>2625.6831999999999</v>
      </c>
      <c r="H7" s="1">
        <v>51.76</v>
      </c>
      <c r="I7" s="1">
        <v>54.02</v>
      </c>
    </row>
    <row r="8" spans="2:9">
      <c r="B8" s="1" t="s">
        <v>19</v>
      </c>
      <c r="C8" s="1">
        <f t="shared" si="0"/>
        <v>108.52</v>
      </c>
      <c r="D8" s="1">
        <v>43</v>
      </c>
      <c r="E8" s="1">
        <f t="shared" si="1"/>
        <v>4666.3599999999997</v>
      </c>
      <c r="F8" s="1">
        <f t="shared" si="2"/>
        <v>559.96319999999992</v>
      </c>
      <c r="G8" s="1">
        <f t="shared" si="3"/>
        <v>5226.3231999999998</v>
      </c>
      <c r="H8" s="1">
        <v>103.02</v>
      </c>
      <c r="I8" s="1">
        <v>108.02</v>
      </c>
    </row>
    <row r="9" spans="2:9">
      <c r="B9" s="1" t="s">
        <v>27</v>
      </c>
      <c r="C9" s="1">
        <f t="shared" si="0"/>
        <v>216.19</v>
      </c>
      <c r="D9" s="1">
        <v>43</v>
      </c>
      <c r="E9" s="1">
        <f t="shared" si="1"/>
        <v>9296.17</v>
      </c>
      <c r="F9" s="1">
        <f t="shared" si="2"/>
        <v>1115.5403999999999</v>
      </c>
      <c r="G9" s="1">
        <f t="shared" si="3"/>
        <v>10411.7104</v>
      </c>
      <c r="H9" s="1">
        <v>206.04</v>
      </c>
      <c r="I9" s="1">
        <v>215.69</v>
      </c>
    </row>
    <row r="10" spans="2:9">
      <c r="B10" s="1" t="s">
        <v>28</v>
      </c>
      <c r="C10" s="1">
        <f t="shared" si="0"/>
        <v>432.31</v>
      </c>
      <c r="D10" s="1">
        <v>43</v>
      </c>
      <c r="E10" s="1">
        <f t="shared" si="1"/>
        <v>18589.330000000002</v>
      </c>
      <c r="F10" s="1">
        <f t="shared" si="2"/>
        <v>2230.7195999999999</v>
      </c>
      <c r="G10" s="1">
        <f t="shared" si="3"/>
        <v>20820.049600000002</v>
      </c>
      <c r="H10" s="1">
        <v>412.08</v>
      </c>
      <c r="I10" s="1">
        <v>431.81</v>
      </c>
    </row>
    <row r="14" spans="2:9">
      <c r="B14" t="s">
        <v>12</v>
      </c>
      <c r="C14" s="1">
        <f>I14+0.5</f>
        <v>5.89</v>
      </c>
      <c r="D14" s="1">
        <v>43</v>
      </c>
      <c r="E14" s="1">
        <f>C14*D14</f>
        <v>253.26999999999998</v>
      </c>
      <c r="F14" s="1">
        <f>E14*0.12</f>
        <v>30.392399999999995</v>
      </c>
      <c r="G14" s="1">
        <f>E14+F14</f>
        <v>283.66239999999999</v>
      </c>
      <c r="H14" s="1">
        <v>5.17</v>
      </c>
      <c r="I14" s="1">
        <v>5.39</v>
      </c>
    </row>
    <row r="15" spans="2:9">
      <c r="B15" t="s">
        <v>21</v>
      </c>
      <c r="C15" s="1">
        <f t="shared" ref="C15:C19" si="4">I15+0.5</f>
        <v>11.29</v>
      </c>
      <c r="D15" s="1">
        <v>43</v>
      </c>
      <c r="E15" s="1">
        <f t="shared" ref="E15:E19" si="5">C15*D15</f>
        <v>485.46999999999997</v>
      </c>
      <c r="F15" s="1">
        <f t="shared" ref="F15:F19" si="6">E15*0.12</f>
        <v>58.256399999999992</v>
      </c>
      <c r="G15" s="1">
        <f t="shared" ref="G15:G19" si="7">E15+F15</f>
        <v>543.72640000000001</v>
      </c>
      <c r="H15" s="1">
        <v>10.35</v>
      </c>
      <c r="I15" s="1">
        <v>10.79</v>
      </c>
    </row>
    <row r="16" spans="2:9">
      <c r="B16" t="s">
        <v>22</v>
      </c>
      <c r="C16" s="1">
        <f t="shared" si="4"/>
        <v>22.11</v>
      </c>
      <c r="D16" s="1">
        <v>43</v>
      </c>
      <c r="E16" s="1">
        <f t="shared" si="5"/>
        <v>950.73</v>
      </c>
      <c r="F16" s="1">
        <f t="shared" si="6"/>
        <v>114.08759999999999</v>
      </c>
      <c r="G16" s="1">
        <f t="shared" si="7"/>
        <v>1064.8176000000001</v>
      </c>
      <c r="H16" s="1">
        <v>20.7</v>
      </c>
      <c r="I16" s="1">
        <v>21.61</v>
      </c>
    </row>
    <row r="17" spans="2:9">
      <c r="B17" t="s">
        <v>25</v>
      </c>
      <c r="C17" s="1">
        <f t="shared" si="4"/>
        <v>43.7</v>
      </c>
      <c r="D17" s="1">
        <v>43</v>
      </c>
      <c r="E17" s="1">
        <f t="shared" si="5"/>
        <v>1879.1000000000001</v>
      </c>
      <c r="F17" s="1">
        <f t="shared" si="6"/>
        <v>225.49200000000002</v>
      </c>
      <c r="G17" s="1">
        <f t="shared" si="7"/>
        <v>2104.5920000000001</v>
      </c>
      <c r="H17" s="1">
        <v>41.41</v>
      </c>
      <c r="I17" s="1">
        <v>43.2</v>
      </c>
    </row>
    <row r="18" spans="2:9">
      <c r="B18" t="s">
        <v>23</v>
      </c>
      <c r="C18" s="1">
        <f t="shared" si="4"/>
        <v>216.19</v>
      </c>
      <c r="D18" s="1">
        <v>43</v>
      </c>
      <c r="E18" s="1">
        <f t="shared" si="5"/>
        <v>9296.17</v>
      </c>
      <c r="F18" s="1">
        <f t="shared" si="6"/>
        <v>1115.5403999999999</v>
      </c>
      <c r="G18" s="1">
        <f t="shared" si="7"/>
        <v>10411.7104</v>
      </c>
      <c r="H18" s="1">
        <v>206.04</v>
      </c>
      <c r="I18" s="1">
        <v>215.69</v>
      </c>
    </row>
    <row r="19" spans="2:9">
      <c r="B19" t="s">
        <v>24</v>
      </c>
      <c r="C19" s="1">
        <f t="shared" si="4"/>
        <v>432.31</v>
      </c>
      <c r="D19" s="1">
        <v>43</v>
      </c>
      <c r="E19" s="1">
        <f t="shared" si="5"/>
        <v>18589.330000000002</v>
      </c>
      <c r="F19" s="1">
        <f t="shared" si="6"/>
        <v>2230.7195999999999</v>
      </c>
      <c r="G19" s="1">
        <f t="shared" si="7"/>
        <v>20820.049600000002</v>
      </c>
      <c r="H19" s="1">
        <v>412.08</v>
      </c>
      <c r="I19" s="1">
        <v>431.81</v>
      </c>
    </row>
    <row r="22" spans="2:9">
      <c r="B22" s="1" t="s">
        <v>29</v>
      </c>
      <c r="C22" s="1">
        <f>I22+0.5</f>
        <v>5.89</v>
      </c>
      <c r="D22" s="1">
        <v>43</v>
      </c>
      <c r="E22" s="1">
        <f>C22*D22</f>
        <v>253.26999999999998</v>
      </c>
      <c r="F22" s="1">
        <f>E22*0.12</f>
        <v>30.392399999999995</v>
      </c>
      <c r="G22" s="1">
        <f>E22+F22</f>
        <v>283.66239999999999</v>
      </c>
      <c r="H22" s="1">
        <v>5.17</v>
      </c>
      <c r="I22" s="1">
        <v>5.39</v>
      </c>
    </row>
    <row r="23" spans="2:9">
      <c r="B23" s="1" t="s">
        <v>30</v>
      </c>
      <c r="C23" s="1">
        <f t="shared" ref="C23:C26" si="8">I23+0.5</f>
        <v>11.29</v>
      </c>
      <c r="D23" s="1">
        <v>43</v>
      </c>
      <c r="E23" s="1">
        <f t="shared" ref="E23:E26" si="9">C23*D23</f>
        <v>485.46999999999997</v>
      </c>
      <c r="F23" s="1">
        <f t="shared" ref="F23:F26" si="10">E23*0.12</f>
        <v>58.256399999999992</v>
      </c>
      <c r="G23" s="1">
        <f t="shared" ref="G23:G26" si="11">E23+F23</f>
        <v>543.72640000000001</v>
      </c>
      <c r="H23" s="1">
        <v>10.35</v>
      </c>
      <c r="I23" s="1">
        <v>10.79</v>
      </c>
    </row>
    <row r="24" spans="2:9">
      <c r="B24" s="1" t="s">
        <v>31</v>
      </c>
      <c r="C24" s="1">
        <f t="shared" si="8"/>
        <v>22.11</v>
      </c>
      <c r="D24" s="1">
        <v>43</v>
      </c>
      <c r="E24" s="1">
        <f t="shared" si="9"/>
        <v>950.73</v>
      </c>
      <c r="F24" s="1">
        <f t="shared" si="10"/>
        <v>114.08759999999999</v>
      </c>
      <c r="G24" s="1">
        <f t="shared" si="11"/>
        <v>1064.8176000000001</v>
      </c>
      <c r="H24" s="1">
        <v>20.7</v>
      </c>
      <c r="I24" s="1">
        <v>21.61</v>
      </c>
    </row>
    <row r="25" spans="2:9">
      <c r="B25" s="1" t="s">
        <v>32</v>
      </c>
      <c r="C25" s="1">
        <f t="shared" si="8"/>
        <v>54.52</v>
      </c>
      <c r="D25" s="1">
        <v>43</v>
      </c>
      <c r="E25" s="1">
        <f t="shared" si="9"/>
        <v>2344.36</v>
      </c>
      <c r="F25" s="1">
        <f t="shared" si="10"/>
        <v>281.32319999999999</v>
      </c>
      <c r="G25" s="1">
        <f t="shared" si="11"/>
        <v>2625.6831999999999</v>
      </c>
      <c r="H25" s="1">
        <v>51.76</v>
      </c>
      <c r="I25" s="1">
        <v>54.02</v>
      </c>
    </row>
    <row r="26" spans="2:9">
      <c r="B26" s="1" t="s">
        <v>33</v>
      </c>
      <c r="C26" s="1">
        <f t="shared" si="8"/>
        <v>108.52</v>
      </c>
      <c r="D26" s="1">
        <v>43</v>
      </c>
      <c r="E26" s="1">
        <f t="shared" si="9"/>
        <v>4666.3599999999997</v>
      </c>
      <c r="F26" s="1">
        <f t="shared" si="10"/>
        <v>559.96319999999992</v>
      </c>
      <c r="G26" s="1">
        <f t="shared" si="11"/>
        <v>5226.3231999999998</v>
      </c>
      <c r="H26" s="1">
        <v>103.02</v>
      </c>
      <c r="I26" s="1">
        <v>108.02</v>
      </c>
    </row>
    <row r="31" spans="2:9">
      <c r="B31" s="1" t="s">
        <v>34</v>
      </c>
      <c r="C31" s="1">
        <f>I31+0.5</f>
        <v>5.89</v>
      </c>
      <c r="D31" s="1">
        <v>43</v>
      </c>
      <c r="E31" s="1">
        <f>C31*D31</f>
        <v>253.26999999999998</v>
      </c>
      <c r="F31" s="1">
        <f>E31*0.12</f>
        <v>30.392399999999995</v>
      </c>
      <c r="G31" s="1">
        <f>E31+F31</f>
        <v>283.66239999999999</v>
      </c>
      <c r="H31" s="1">
        <v>5.17</v>
      </c>
      <c r="I31" s="1">
        <v>5.39</v>
      </c>
    </row>
    <row r="32" spans="2:9">
      <c r="B32" s="1" t="s">
        <v>35</v>
      </c>
      <c r="C32" s="1">
        <f t="shared" ref="C32:C35" si="12">I32+0.5</f>
        <v>11.29</v>
      </c>
      <c r="D32" s="1">
        <v>43</v>
      </c>
      <c r="E32" s="1">
        <f t="shared" ref="E32:E35" si="13">C32*D32</f>
        <v>485.46999999999997</v>
      </c>
      <c r="F32" s="1">
        <f t="shared" ref="F32:F35" si="14">E32*0.12</f>
        <v>58.256399999999992</v>
      </c>
      <c r="G32" s="1">
        <f t="shared" ref="G32:G35" si="15">E32+F32</f>
        <v>543.72640000000001</v>
      </c>
      <c r="H32" s="1">
        <v>10.35</v>
      </c>
      <c r="I32" s="1">
        <v>10.79</v>
      </c>
    </row>
    <row r="33" spans="2:9">
      <c r="B33" s="1" t="s">
        <v>36</v>
      </c>
      <c r="C33" s="1">
        <f t="shared" si="12"/>
        <v>22.11</v>
      </c>
      <c r="D33" s="1">
        <v>43</v>
      </c>
      <c r="E33" s="1">
        <f t="shared" si="13"/>
        <v>950.73</v>
      </c>
      <c r="F33" s="1">
        <f t="shared" si="14"/>
        <v>114.08759999999999</v>
      </c>
      <c r="G33" s="1">
        <f t="shared" si="15"/>
        <v>1064.8176000000001</v>
      </c>
      <c r="H33" s="1">
        <v>20.7</v>
      </c>
      <c r="I33" s="1">
        <v>21.61</v>
      </c>
    </row>
    <row r="34" spans="2:9">
      <c r="B34" s="1" t="s">
        <v>37</v>
      </c>
      <c r="C34" s="1">
        <f t="shared" si="12"/>
        <v>54.52</v>
      </c>
      <c r="D34" s="1">
        <v>43</v>
      </c>
      <c r="E34" s="1">
        <f t="shared" si="13"/>
        <v>2344.36</v>
      </c>
      <c r="F34" s="1">
        <f t="shared" si="14"/>
        <v>281.32319999999999</v>
      </c>
      <c r="G34" s="1">
        <f t="shared" si="15"/>
        <v>2625.6831999999999</v>
      </c>
      <c r="H34" s="1">
        <v>51.76</v>
      </c>
      <c r="I34" s="1">
        <v>54.02</v>
      </c>
    </row>
    <row r="35" spans="2:9">
      <c r="B35" s="1" t="s">
        <v>38</v>
      </c>
      <c r="C35" s="1">
        <f t="shared" si="12"/>
        <v>108.52</v>
      </c>
      <c r="D35" s="1">
        <v>43</v>
      </c>
      <c r="E35" s="1">
        <f t="shared" si="13"/>
        <v>4666.3599999999997</v>
      </c>
      <c r="F35" s="1">
        <f t="shared" si="14"/>
        <v>559.96319999999992</v>
      </c>
      <c r="G35" s="1">
        <f t="shared" si="15"/>
        <v>5226.3231999999998</v>
      </c>
      <c r="H35" s="1">
        <v>103.02</v>
      </c>
      <c r="I35" s="1">
        <v>108.02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B3:K10"/>
  <sheetViews>
    <sheetView zoomScale="115" zoomScaleNormal="115" workbookViewId="0">
      <selection activeCell="K11" sqref="K11"/>
    </sheetView>
  </sheetViews>
  <sheetFormatPr baseColWidth="10" defaultColWidth="12.85546875" defaultRowHeight="20.25" customHeight="1"/>
  <cols>
    <col min="1" max="1" width="12.85546875" style="1"/>
    <col min="2" max="2" width="15.42578125" style="1" bestFit="1" customWidth="1"/>
    <col min="3" max="4" width="12.85546875" style="1"/>
    <col min="5" max="5" width="16.28515625" style="1" bestFit="1" customWidth="1"/>
    <col min="6" max="16384" width="12.85546875" style="1"/>
  </cols>
  <sheetData>
    <row r="3" spans="2:11" ht="20.2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39</v>
      </c>
      <c r="I3" s="1" t="s">
        <v>18</v>
      </c>
      <c r="J3" s="1" t="s">
        <v>45</v>
      </c>
      <c r="K3" s="1" t="s">
        <v>46</v>
      </c>
    </row>
    <row r="5" spans="2:11" ht="20.25" customHeight="1">
      <c r="B5" s="1" t="s">
        <v>20</v>
      </c>
      <c r="C5" s="1">
        <f>H5+0.5</f>
        <v>22.72</v>
      </c>
      <c r="D5" s="1">
        <v>43</v>
      </c>
      <c r="E5" s="1">
        <f>C5*D5</f>
        <v>976.95999999999992</v>
      </c>
      <c r="F5" s="1">
        <f>E5*0.12</f>
        <v>117.23519999999999</v>
      </c>
      <c r="G5" s="1">
        <f>E5+F5</f>
        <v>1094.1951999999999</v>
      </c>
      <c r="H5" s="1">
        <v>22.22</v>
      </c>
      <c r="I5" s="1">
        <v>21.94</v>
      </c>
    </row>
    <row r="6" spans="2:11" ht="20.25" customHeight="1">
      <c r="B6" s="1" t="s">
        <v>40</v>
      </c>
      <c r="C6" s="1">
        <f t="shared" ref="C6:C8" si="0">H6+0.5</f>
        <v>56.14</v>
      </c>
      <c r="D6" s="1">
        <v>43</v>
      </c>
      <c r="E6" s="1">
        <f t="shared" ref="E6:E10" si="1">C6*D6</f>
        <v>2414.02</v>
      </c>
      <c r="F6" s="1">
        <f t="shared" ref="F6:F10" si="2">E6*0.12</f>
        <v>289.68239999999997</v>
      </c>
      <c r="G6" s="1">
        <f t="shared" ref="G6:G10" si="3">E6+F6</f>
        <v>2703.7024000000001</v>
      </c>
      <c r="H6" s="1">
        <v>55.64</v>
      </c>
      <c r="I6" s="1">
        <v>54.79</v>
      </c>
    </row>
    <row r="7" spans="2:11" ht="20.25" customHeight="1">
      <c r="B7" s="1" t="s">
        <v>41</v>
      </c>
      <c r="C7" s="1">
        <f t="shared" si="0"/>
        <v>67.239999999999995</v>
      </c>
      <c r="D7" s="1">
        <v>43</v>
      </c>
      <c r="E7" s="1">
        <f t="shared" si="1"/>
        <v>2891.3199999999997</v>
      </c>
      <c r="F7" s="1">
        <f t="shared" si="2"/>
        <v>346.95839999999993</v>
      </c>
      <c r="G7" s="1">
        <f t="shared" si="3"/>
        <v>3238.2783999999997</v>
      </c>
      <c r="H7" s="1">
        <v>66.739999999999995</v>
      </c>
      <c r="I7" s="1">
        <v>65.75</v>
      </c>
    </row>
    <row r="8" spans="2:11" ht="20.25" customHeight="1">
      <c r="B8" s="1" t="s">
        <v>42</v>
      </c>
      <c r="C8" s="1">
        <f t="shared" si="0"/>
        <v>111.72</v>
      </c>
      <c r="D8" s="1">
        <v>43</v>
      </c>
      <c r="E8" s="1">
        <f t="shared" si="1"/>
        <v>4803.96</v>
      </c>
      <c r="F8" s="1">
        <f t="shared" si="2"/>
        <v>576.47519999999997</v>
      </c>
      <c r="G8" s="1">
        <f t="shared" si="3"/>
        <v>5380.4351999999999</v>
      </c>
      <c r="H8" s="1">
        <v>111.22</v>
      </c>
      <c r="I8" s="1">
        <v>109.57</v>
      </c>
    </row>
    <row r="9" spans="2:11" ht="20.25" customHeight="1">
      <c r="B9" s="1" t="s">
        <v>43</v>
      </c>
      <c r="C9" s="1">
        <f>J9+0.5</f>
        <v>525.70000000000005</v>
      </c>
      <c r="D9" s="1">
        <v>43</v>
      </c>
      <c r="E9" s="1">
        <f t="shared" si="1"/>
        <v>22605.100000000002</v>
      </c>
      <c r="F9" s="1">
        <f t="shared" si="2"/>
        <v>2712.6120000000001</v>
      </c>
      <c r="G9" s="1">
        <f t="shared" si="3"/>
        <v>25317.712000000003</v>
      </c>
      <c r="J9" s="1">
        <v>525.20000000000005</v>
      </c>
      <c r="K9" s="1">
        <v>525</v>
      </c>
    </row>
    <row r="10" spans="2:11" ht="20.25" customHeight="1">
      <c r="B10" s="1" t="s">
        <v>44</v>
      </c>
      <c r="C10" s="1">
        <f>J10+0.5</f>
        <v>1050.9000000000001</v>
      </c>
      <c r="D10" s="1">
        <v>43</v>
      </c>
      <c r="E10" s="1">
        <f t="shared" si="1"/>
        <v>45188.700000000004</v>
      </c>
      <c r="F10" s="1">
        <f t="shared" si="2"/>
        <v>5422.6440000000002</v>
      </c>
      <c r="G10" s="1">
        <f t="shared" si="3"/>
        <v>50611.344000000005</v>
      </c>
      <c r="J10" s="1">
        <v>1050.4000000000001</v>
      </c>
      <c r="K10" s="1">
        <v>1050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"/>
  <sheetViews>
    <sheetView tabSelected="1" zoomScale="115" zoomScaleNormal="115" workbookViewId="0">
      <pane ySplit="1" topLeftCell="A2" activePane="bottomLeft" state="frozen"/>
      <selection pane="bottomLeft" activeCell="J8" sqref="J8"/>
    </sheetView>
  </sheetViews>
  <sheetFormatPr baseColWidth="10" defaultRowHeight="15"/>
  <cols>
    <col min="1" max="1" width="11.42578125" style="1"/>
    <col min="2" max="2" width="29.140625" style="1" bestFit="1" customWidth="1"/>
    <col min="3" max="4" width="11.42578125" style="1"/>
    <col min="5" max="5" width="16.28515625" style="1" bestFit="1" customWidth="1"/>
    <col min="6" max="7" width="11.42578125" style="1"/>
    <col min="8" max="8" width="12.85546875" style="1" bestFit="1" customWidth="1"/>
    <col min="9" max="9" width="12" style="1" bestFit="1" customWidth="1"/>
    <col min="10" max="16384" width="11.42578125" style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13</v>
      </c>
      <c r="I1" s="1" t="s">
        <v>18</v>
      </c>
      <c r="J1" s="1" t="s">
        <v>46</v>
      </c>
    </row>
    <row r="4" spans="1:10">
      <c r="B4" t="s">
        <v>47</v>
      </c>
      <c r="C4" s="1">
        <f>H4+0.5</f>
        <v>6.91</v>
      </c>
      <c r="D4" s="1">
        <v>43</v>
      </c>
      <c r="E4" s="1">
        <f>C4*D4</f>
        <v>297.13</v>
      </c>
      <c r="F4" s="1">
        <f>E4*0.12</f>
        <v>35.6556</v>
      </c>
      <c r="G4" s="1">
        <f>E4+F4</f>
        <v>332.78559999999999</v>
      </c>
      <c r="H4" s="1">
        <v>6.41</v>
      </c>
      <c r="J4" s="1">
        <v>6.3</v>
      </c>
    </row>
    <row r="5" spans="1:10">
      <c r="B5" t="s">
        <v>48</v>
      </c>
      <c r="C5" s="1">
        <f t="shared" ref="C5:C9" si="0">H5+0.5</f>
        <v>13.33</v>
      </c>
      <c r="D5" s="1">
        <v>43</v>
      </c>
      <c r="E5" s="1">
        <f t="shared" ref="E5:E9" si="1">C5*D5</f>
        <v>573.19000000000005</v>
      </c>
      <c r="F5" s="1">
        <f t="shared" ref="F5:F9" si="2">E5*0.12</f>
        <v>68.782800000000009</v>
      </c>
      <c r="G5" s="1">
        <f t="shared" ref="G5:G9" si="3">E5+F5</f>
        <v>641.97280000000001</v>
      </c>
      <c r="H5" s="1">
        <v>12.83</v>
      </c>
      <c r="J5" s="1">
        <v>12.6</v>
      </c>
    </row>
    <row r="6" spans="1:10">
      <c r="B6" t="s">
        <v>49</v>
      </c>
      <c r="C6" s="1">
        <f t="shared" si="0"/>
        <v>24.02</v>
      </c>
      <c r="D6" s="1">
        <v>43</v>
      </c>
      <c r="E6" s="1">
        <f t="shared" si="1"/>
        <v>1032.8599999999999</v>
      </c>
      <c r="F6" s="1">
        <f t="shared" si="2"/>
        <v>123.94319999999999</v>
      </c>
      <c r="G6" s="1">
        <f t="shared" si="3"/>
        <v>1156.8031999999998</v>
      </c>
      <c r="H6" s="1">
        <v>23.52</v>
      </c>
      <c r="J6" s="1">
        <v>23.1</v>
      </c>
    </row>
    <row r="7" spans="1:10">
      <c r="B7" t="s">
        <v>50</v>
      </c>
      <c r="C7" s="1">
        <f t="shared" si="0"/>
        <v>48.6</v>
      </c>
      <c r="D7" s="1">
        <v>43</v>
      </c>
      <c r="E7" s="1">
        <f t="shared" si="1"/>
        <v>2089.8000000000002</v>
      </c>
      <c r="F7" s="1">
        <f t="shared" si="2"/>
        <v>250.77600000000001</v>
      </c>
      <c r="G7" s="1">
        <f t="shared" si="3"/>
        <v>2340.576</v>
      </c>
      <c r="H7" s="1">
        <v>48.1</v>
      </c>
      <c r="J7" s="1">
        <v>47.25</v>
      </c>
    </row>
    <row r="8" spans="1:10">
      <c r="B8" t="s">
        <v>51</v>
      </c>
      <c r="C8" s="1">
        <f t="shared" si="0"/>
        <v>267.74</v>
      </c>
      <c r="D8" s="1">
        <v>43</v>
      </c>
      <c r="E8" s="1">
        <f t="shared" si="1"/>
        <v>11512.82</v>
      </c>
      <c r="F8" s="1">
        <f t="shared" si="2"/>
        <v>1381.5383999999999</v>
      </c>
      <c r="G8" s="1">
        <f t="shared" si="3"/>
        <v>12894.358399999999</v>
      </c>
      <c r="H8" s="1">
        <v>267.24</v>
      </c>
      <c r="J8" s="1">
        <v>262.5</v>
      </c>
    </row>
    <row r="9" spans="1:10">
      <c r="B9"/>
    </row>
    <row r="12" spans="1:10">
      <c r="A12" s="1" t="s">
        <v>60</v>
      </c>
      <c r="B12" s="1" t="s">
        <v>52</v>
      </c>
      <c r="C12" s="1">
        <f>H12+0.5</f>
        <v>6.71</v>
      </c>
      <c r="D12" s="1">
        <v>43</v>
      </c>
      <c r="E12" s="1">
        <f>C12*D12</f>
        <v>288.52999999999997</v>
      </c>
      <c r="F12" s="1">
        <f>E12*0.12</f>
        <v>34.623599999999996</v>
      </c>
      <c r="G12" s="1">
        <f>E12+F12</f>
        <v>323.15359999999998</v>
      </c>
      <c r="H12" s="1">
        <v>6.21</v>
      </c>
    </row>
    <row r="13" spans="1:10">
      <c r="A13" s="1" t="s">
        <v>60</v>
      </c>
      <c r="B13" s="1" t="s">
        <v>53</v>
      </c>
      <c r="C13" s="1">
        <f>I13+0.5</f>
        <v>32.9</v>
      </c>
      <c r="D13" s="1">
        <v>43</v>
      </c>
      <c r="E13" s="1">
        <f t="shared" ref="E13:E19" si="4">C13*D13</f>
        <v>1414.7</v>
      </c>
      <c r="F13" s="1">
        <f t="shared" ref="F13:F19" si="5">E13*0.12</f>
        <v>169.76400000000001</v>
      </c>
      <c r="G13" s="1">
        <f t="shared" ref="G13:G19" si="6">E13+F13</f>
        <v>1584.4639999999999</v>
      </c>
      <c r="H13" s="1">
        <v>31.06</v>
      </c>
      <c r="I13" s="1">
        <v>32.4</v>
      </c>
    </row>
    <row r="14" spans="1:10">
      <c r="A14" s="1" t="s">
        <v>60</v>
      </c>
      <c r="B14" s="1" t="s">
        <v>54</v>
      </c>
      <c r="C14" s="1">
        <f t="shared" ref="C13:C19" si="7">H14+0.5</f>
        <v>8.7799999999999994</v>
      </c>
      <c r="D14" s="1">
        <v>43</v>
      </c>
      <c r="E14" s="1">
        <f t="shared" si="4"/>
        <v>377.53999999999996</v>
      </c>
      <c r="F14" s="1">
        <f t="shared" si="5"/>
        <v>45.304799999999993</v>
      </c>
      <c r="G14" s="1">
        <f t="shared" si="6"/>
        <v>422.84479999999996</v>
      </c>
      <c r="H14" s="1">
        <v>8.2799999999999994</v>
      </c>
    </row>
    <row r="15" spans="1:10">
      <c r="A15" s="1" t="s">
        <v>60</v>
      </c>
      <c r="B15" s="1" t="s">
        <v>55</v>
      </c>
      <c r="C15" s="1">
        <f t="shared" si="7"/>
        <v>17.059999999999999</v>
      </c>
      <c r="D15" s="1">
        <v>43</v>
      </c>
      <c r="E15" s="1">
        <f t="shared" si="4"/>
        <v>733.57999999999993</v>
      </c>
      <c r="F15" s="1">
        <f t="shared" si="5"/>
        <v>88.029599999999988</v>
      </c>
      <c r="G15" s="1">
        <f t="shared" si="6"/>
        <v>821.60959999999989</v>
      </c>
      <c r="H15" s="1">
        <v>16.559999999999999</v>
      </c>
    </row>
    <row r="16" spans="1:10">
      <c r="A16" s="1" t="s">
        <v>60</v>
      </c>
      <c r="B16" s="1" t="s">
        <v>56</v>
      </c>
      <c r="C16" s="1">
        <f>I16+0.5</f>
        <v>86.75</v>
      </c>
      <c r="D16" s="1">
        <v>43</v>
      </c>
      <c r="E16" s="1">
        <f t="shared" si="4"/>
        <v>3730.25</v>
      </c>
      <c r="F16" s="1">
        <f t="shared" si="5"/>
        <v>447.63</v>
      </c>
      <c r="G16" s="1">
        <f t="shared" si="6"/>
        <v>4177.88</v>
      </c>
      <c r="H16" s="1">
        <v>82.82</v>
      </c>
      <c r="I16" s="1">
        <v>86.25</v>
      </c>
    </row>
    <row r="17" spans="1:9">
      <c r="A17" s="1" t="s">
        <v>60</v>
      </c>
      <c r="B17" s="1" t="s">
        <v>57</v>
      </c>
      <c r="C17" s="1">
        <f t="shared" ref="C17:C18" si="8">I17+0.5</f>
        <v>16.7</v>
      </c>
      <c r="D17" s="1">
        <v>43</v>
      </c>
      <c r="E17" s="1">
        <f t="shared" si="4"/>
        <v>718.1</v>
      </c>
      <c r="F17" s="1">
        <f t="shared" si="5"/>
        <v>86.171999999999997</v>
      </c>
      <c r="G17" s="1">
        <f t="shared" si="6"/>
        <v>804.27200000000005</v>
      </c>
      <c r="H17" s="1">
        <v>15.53</v>
      </c>
      <c r="I17" s="1">
        <v>16.2</v>
      </c>
    </row>
    <row r="18" spans="1:9">
      <c r="A18" s="1" t="s">
        <v>60</v>
      </c>
      <c r="B18" s="1" t="s">
        <v>58</v>
      </c>
      <c r="C18" s="1">
        <f t="shared" si="8"/>
        <v>32.9</v>
      </c>
      <c r="D18" s="1">
        <v>43</v>
      </c>
      <c r="E18" s="1">
        <f t="shared" si="4"/>
        <v>1414.7</v>
      </c>
      <c r="F18" s="1">
        <f t="shared" si="5"/>
        <v>169.76400000000001</v>
      </c>
      <c r="G18" s="1">
        <f t="shared" si="6"/>
        <v>1584.4639999999999</v>
      </c>
      <c r="H18" s="1">
        <v>31.06</v>
      </c>
      <c r="I18" s="1">
        <v>32.4</v>
      </c>
    </row>
    <row r="19" spans="1:9">
      <c r="A19" s="1" t="s">
        <v>60</v>
      </c>
      <c r="B19" s="1" t="s">
        <v>59</v>
      </c>
      <c r="C19" s="1">
        <f t="shared" si="7"/>
        <v>149.88</v>
      </c>
      <c r="D19" s="1">
        <v>43</v>
      </c>
      <c r="E19" s="1">
        <f t="shared" si="4"/>
        <v>6444.84</v>
      </c>
      <c r="F19" s="1">
        <f t="shared" si="5"/>
        <v>773.38080000000002</v>
      </c>
      <c r="G19" s="1">
        <f t="shared" si="6"/>
        <v>7218.2208000000001</v>
      </c>
      <c r="H19" s="1">
        <v>149.38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Feuil3</vt:lpstr>
      <vt:lpstr>Feuil2 (2)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2025-12-15T22:35:12Z</dcterms:modified>
</cp:coreProperties>
</file>