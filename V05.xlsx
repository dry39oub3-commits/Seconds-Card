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tables/table3.xml" ContentType="application/vnd.openxmlformats-officedocument.spreadsheetml.table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-105" yWindow="-105" windowWidth="20730" windowHeight="11760" firstSheet="8" activeTab="16"/>
  </bookViews>
  <sheets>
    <sheet name="Feuil1" sheetId="1" r:id="rId1"/>
    <sheet name="PUBG" sheetId="5" r:id="rId2"/>
    <sheet name="Anghami" sheetId="6" r:id="rId3"/>
    <sheet name="XBOX" sheetId="7" r:id="rId4"/>
    <sheet name="APP STORE" sheetId="8" r:id="rId5"/>
    <sheet name="FREEFIRE" sheetId="9" r:id="rId6"/>
    <sheet name="Nintendo" sheetId="11" r:id="rId7"/>
    <sheet name="CONSOL GAMENG" sheetId="4" r:id="rId8"/>
    <sheet name="APPLE Charge" sheetId="3" r:id="rId9"/>
    <sheet name="mobil charge " sheetId="10" r:id="rId10"/>
    <sheet name="Feuil2" sheetId="12" r:id="rId11"/>
    <sheet name="Feuil3" sheetId="19" r:id="rId12"/>
    <sheet name="VPN" sheetId="13" r:id="rId13"/>
    <sheet name="APP STORE (2)" sheetId="15" r:id="rId14"/>
    <sheet name="APP STORE (3)" sheetId="17" r:id="rId15"/>
    <sheet name="APPLE GER" sheetId="18" r:id="rId16"/>
    <sheet name="Roblox " sheetId="20" r:id="rId17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5" i="20"/>
  <c r="G6"/>
  <c r="G7"/>
  <c r="G4"/>
  <c r="E4"/>
  <c r="F5"/>
  <c r="F6"/>
  <c r="F7"/>
  <c r="F4"/>
  <c r="E5"/>
  <c r="E6"/>
  <c r="E7"/>
  <c r="C5" l="1"/>
  <c r="C6"/>
  <c r="C7"/>
  <c r="C4"/>
  <c r="G16" i="19"/>
  <c r="G15"/>
  <c r="F16"/>
  <c r="F15"/>
  <c r="E16"/>
  <c r="E15"/>
  <c r="H16"/>
  <c r="H15"/>
  <c r="H9"/>
  <c r="E9" s="1"/>
  <c r="H8"/>
  <c r="E8" s="1"/>
  <c r="H7"/>
  <c r="E7" s="1"/>
  <c r="H6"/>
  <c r="E6" s="1"/>
  <c r="H5"/>
  <c r="E5" s="1"/>
  <c r="F34" i="12"/>
  <c r="F35"/>
  <c r="F33"/>
  <c r="L18" i="18"/>
  <c r="L19"/>
  <c r="L20"/>
  <c r="L21"/>
  <c r="L22"/>
  <c r="L23"/>
  <c r="L17"/>
  <c r="G23"/>
  <c r="F23" s="1"/>
  <c r="D23" s="1"/>
  <c r="G21"/>
  <c r="F21" s="1"/>
  <c r="D21" s="1"/>
  <c r="G19"/>
  <c r="F19" s="1"/>
  <c r="D19" s="1"/>
  <c r="G20"/>
  <c r="G22"/>
  <c r="G18"/>
  <c r="F18" s="1"/>
  <c r="D18" s="1"/>
  <c r="G17"/>
  <c r="F17" s="1"/>
  <c r="D17" s="1"/>
  <c r="F20"/>
  <c r="F22"/>
  <c r="D20"/>
  <c r="D22"/>
  <c r="L5" i="3"/>
  <c r="L6"/>
  <c r="L7"/>
  <c r="L8"/>
  <c r="L9"/>
  <c r="L10"/>
  <c r="L11"/>
  <c r="L12"/>
  <c r="L13"/>
  <c r="L4"/>
  <c r="D5"/>
  <c r="D6"/>
  <c r="D7"/>
  <c r="D8"/>
  <c r="D9"/>
  <c r="D10"/>
  <c r="D11"/>
  <c r="D12"/>
  <c r="D13"/>
  <c r="D4"/>
  <c r="F5"/>
  <c r="F6"/>
  <c r="F7"/>
  <c r="F8"/>
  <c r="F9"/>
  <c r="F10"/>
  <c r="F11"/>
  <c r="F12"/>
  <c r="F13"/>
  <c r="F4"/>
  <c r="F61" i="4"/>
  <c r="D61" s="1"/>
  <c r="L61"/>
  <c r="G81"/>
  <c r="G79"/>
  <c r="G78"/>
  <c r="G77"/>
  <c r="G75"/>
  <c r="L75" s="1"/>
  <c r="G76"/>
  <c r="G80"/>
  <c r="G74"/>
  <c r="L74" s="1"/>
  <c r="F6" i="19" l="1"/>
  <c r="G6"/>
  <c r="F7"/>
  <c r="G7"/>
  <c r="F5"/>
  <c r="G5"/>
  <c r="F9"/>
  <c r="G9" s="1"/>
  <c r="F8"/>
  <c r="G8"/>
  <c r="K5" i="17"/>
  <c r="K6"/>
  <c r="K7"/>
  <c r="K8"/>
  <c r="K9"/>
  <c r="K10"/>
  <c r="K11"/>
  <c r="K12"/>
  <c r="K13"/>
  <c r="K14"/>
  <c r="F4"/>
  <c r="E4" s="1"/>
  <c r="C4" s="1"/>
  <c r="F14"/>
  <c r="F13"/>
  <c r="E13"/>
  <c r="C13" s="1"/>
  <c r="F12"/>
  <c r="E12" s="1"/>
  <c r="C12" s="1"/>
  <c r="F10"/>
  <c r="E10" s="1"/>
  <c r="C10" s="1"/>
  <c r="F11"/>
  <c r="E11" s="1"/>
  <c r="C11" s="1"/>
  <c r="F9"/>
  <c r="F8"/>
  <c r="F7"/>
  <c r="E7" s="1"/>
  <c r="C7" s="1"/>
  <c r="F6"/>
  <c r="E6" s="1"/>
  <c r="C6" s="1"/>
  <c r="F5"/>
  <c r="E14"/>
  <c r="C14" s="1"/>
  <c r="E5"/>
  <c r="C5" s="1"/>
  <c r="D4" i="15"/>
  <c r="L5"/>
  <c r="L6"/>
  <c r="L7"/>
  <c r="L8"/>
  <c r="L9"/>
  <c r="L10"/>
  <c r="L11"/>
  <c r="L12"/>
  <c r="L13"/>
  <c r="L14"/>
  <c r="L4"/>
  <c r="D6"/>
  <c r="D7"/>
  <c r="D8"/>
  <c r="D9"/>
  <c r="D10"/>
  <c r="D11"/>
  <c r="D12"/>
  <c r="D13"/>
  <c r="D14"/>
  <c r="D22"/>
  <c r="D23"/>
  <c r="D24"/>
  <c r="D25"/>
  <c r="D26"/>
  <c r="D27"/>
  <c r="D28"/>
  <c r="D29"/>
  <c r="D30"/>
  <c r="D31"/>
  <c r="D5"/>
  <c r="F4"/>
  <c r="F14"/>
  <c r="F13"/>
  <c r="F12"/>
  <c r="F11"/>
  <c r="F10"/>
  <c r="F9"/>
  <c r="G8"/>
  <c r="F7"/>
  <c r="F6"/>
  <c r="F5"/>
  <c r="D53" i="10"/>
  <c r="D54"/>
  <c r="D55"/>
  <c r="D56"/>
  <c r="D57"/>
  <c r="L56"/>
  <c r="L57"/>
  <c r="L59"/>
  <c r="L55"/>
  <c r="G56"/>
  <c r="G57"/>
  <c r="G58"/>
  <c r="L58" s="1"/>
  <c r="G59"/>
  <c r="F59" s="1"/>
  <c r="D59" s="1"/>
  <c r="G55"/>
  <c r="D9" i="6"/>
  <c r="D8"/>
  <c r="F9"/>
  <c r="F8"/>
  <c r="L9"/>
  <c r="L8"/>
  <c r="G26" i="4"/>
  <c r="G27"/>
  <c r="G28"/>
  <c r="G29"/>
  <c r="G25"/>
  <c r="F3"/>
  <c r="D3" s="1"/>
  <c r="L3"/>
  <c r="G5"/>
  <c r="L5" s="1"/>
  <c r="G6"/>
  <c r="F6" s="1"/>
  <c r="D6" s="1"/>
  <c r="G7"/>
  <c r="F7" s="1"/>
  <c r="D7" s="1"/>
  <c r="G8"/>
  <c r="L8" s="1"/>
  <c r="G4"/>
  <c r="L4" s="1"/>
  <c r="D73"/>
  <c r="F82"/>
  <c r="D82" s="1"/>
  <c r="F83"/>
  <c r="D83" s="1"/>
  <c r="F84"/>
  <c r="D84" s="1"/>
  <c r="F85"/>
  <c r="D85" s="1"/>
  <c r="F86"/>
  <c r="D86" s="1"/>
  <c r="F87"/>
  <c r="D87" s="1"/>
  <c r="F88"/>
  <c r="D88" s="1"/>
  <c r="F89"/>
  <c r="D89" s="1"/>
  <c r="F90"/>
  <c r="D90" s="1"/>
  <c r="F91"/>
  <c r="D91" s="1"/>
  <c r="F92"/>
  <c r="D92" s="1"/>
  <c r="F93"/>
  <c r="D93" s="1"/>
  <c r="F94"/>
  <c r="D94" s="1"/>
  <c r="F95"/>
  <c r="D95" s="1"/>
  <c r="F96"/>
  <c r="D96" s="1"/>
  <c r="F97"/>
  <c r="D97" s="1"/>
  <c r="F98"/>
  <c r="D98" s="1"/>
  <c r="F99"/>
  <c r="D99" s="1"/>
  <c r="F100"/>
  <c r="D100" s="1"/>
  <c r="F101"/>
  <c r="D101" s="1"/>
  <c r="F102"/>
  <c r="D102" s="1"/>
  <c r="F103"/>
  <c r="D103" s="1"/>
  <c r="L76"/>
  <c r="L77"/>
  <c r="L78"/>
  <c r="L79"/>
  <c r="L80"/>
  <c r="L81"/>
  <c r="L82"/>
  <c r="L83"/>
  <c r="L84"/>
  <c r="L85"/>
  <c r="L86"/>
  <c r="L87"/>
  <c r="L88"/>
  <c r="L89"/>
  <c r="L90"/>
  <c r="L91"/>
  <c r="L92"/>
  <c r="L93"/>
  <c r="L94"/>
  <c r="L95"/>
  <c r="L96"/>
  <c r="L97"/>
  <c r="L98"/>
  <c r="L99"/>
  <c r="L100"/>
  <c r="L101"/>
  <c r="L102"/>
  <c r="L103"/>
  <c r="F75"/>
  <c r="D75" s="1"/>
  <c r="F76"/>
  <c r="D76" s="1"/>
  <c r="F77"/>
  <c r="D77" s="1"/>
  <c r="F78"/>
  <c r="D78" s="1"/>
  <c r="F79"/>
  <c r="D79" s="1"/>
  <c r="F80"/>
  <c r="D80" s="1"/>
  <c r="F81"/>
  <c r="D81" s="1"/>
  <c r="F74"/>
  <c r="D74" s="1"/>
  <c r="C24" i="12"/>
  <c r="C23"/>
  <c r="C22"/>
  <c r="C21"/>
  <c r="C20"/>
  <c r="C19"/>
  <c r="E24"/>
  <c r="E23"/>
  <c r="E22"/>
  <c r="E21"/>
  <c r="E20"/>
  <c r="E19"/>
  <c r="L18"/>
  <c r="L19"/>
  <c r="L20"/>
  <c r="L21"/>
  <c r="L22"/>
  <c r="L23"/>
  <c r="L24"/>
  <c r="L10" i="10"/>
  <c r="F10"/>
  <c r="F12"/>
  <c r="F13"/>
  <c r="F14"/>
  <c r="F15"/>
  <c r="D10"/>
  <c r="F3"/>
  <c r="D3" s="1"/>
  <c r="L3"/>
  <c r="E9" i="17" l="1"/>
  <c r="C9" s="1"/>
  <c r="K4"/>
  <c r="E8"/>
  <c r="C8" s="1"/>
  <c r="F8" i="15"/>
  <c r="F8" i="4"/>
  <c r="D8" s="1"/>
  <c r="L7"/>
  <c r="L6"/>
  <c r="F4"/>
  <c r="D4" s="1"/>
  <c r="F5"/>
  <c r="D5" s="1"/>
  <c r="C5" i="13"/>
  <c r="C6"/>
  <c r="C7"/>
  <c r="C8"/>
  <c r="C9"/>
  <c r="E3"/>
  <c r="C3" s="1"/>
  <c r="E4"/>
  <c r="C4" s="1"/>
  <c r="E5"/>
  <c r="E6"/>
  <c r="E7"/>
  <c r="E8"/>
  <c r="E9"/>
  <c r="E10"/>
  <c r="L3"/>
  <c r="L4"/>
  <c r="L5"/>
  <c r="L6"/>
  <c r="L7"/>
  <c r="L8"/>
  <c r="L9"/>
  <c r="L10"/>
  <c r="L2"/>
  <c r="D39" i="15" l="1"/>
  <c r="F23"/>
  <c r="F24"/>
  <c r="F26"/>
  <c r="F27"/>
  <c r="F28"/>
  <c r="F29"/>
  <c r="F30"/>
  <c r="F31"/>
  <c r="F22"/>
  <c r="D40"/>
  <c r="D41"/>
  <c r="D42"/>
  <c r="D43"/>
  <c r="D44"/>
  <c r="D45"/>
  <c r="D46"/>
  <c r="D47"/>
  <c r="D48"/>
  <c r="L31"/>
  <c r="L30"/>
  <c r="L29"/>
  <c r="L28"/>
  <c r="L27"/>
  <c r="L26"/>
  <c r="G25"/>
  <c r="L24"/>
  <c r="L23"/>
  <c r="E2" i="13"/>
  <c r="C2" s="1"/>
  <c r="L25" i="4"/>
  <c r="L26"/>
  <c r="L27"/>
  <c r="L28"/>
  <c r="L29"/>
  <c r="L30"/>
  <c r="L31"/>
  <c r="L32"/>
  <c r="L33"/>
  <c r="L34"/>
  <c r="L35"/>
  <c r="L36"/>
  <c r="L37"/>
  <c r="L38"/>
  <c r="L39"/>
  <c r="L40"/>
  <c r="L41"/>
  <c r="L42"/>
  <c r="L43"/>
  <c r="L44"/>
  <c r="L45"/>
  <c r="L46"/>
  <c r="L47"/>
  <c r="L48"/>
  <c r="L49"/>
  <c r="L50"/>
  <c r="L51"/>
  <c r="L52"/>
  <c r="L53"/>
  <c r="L54"/>
  <c r="L55"/>
  <c r="L56"/>
  <c r="L57"/>
  <c r="L58"/>
  <c r="L59"/>
  <c r="L60"/>
  <c r="L62"/>
  <c r="L63"/>
  <c r="L64"/>
  <c r="L65"/>
  <c r="L66"/>
  <c r="L67"/>
  <c r="L68"/>
  <c r="L69"/>
  <c r="L70"/>
  <c r="L71"/>
  <c r="L11"/>
  <c r="L12"/>
  <c r="L13"/>
  <c r="L14"/>
  <c r="L15"/>
  <c r="L16"/>
  <c r="L17"/>
  <c r="L18"/>
  <c r="L19"/>
  <c r="L20"/>
  <c r="L21"/>
  <c r="L22"/>
  <c r="L23"/>
  <c r="L24"/>
  <c r="L10"/>
  <c r="F14"/>
  <c r="D14" s="1"/>
  <c r="F15"/>
  <c r="D15" s="1"/>
  <c r="F16"/>
  <c r="D16" s="1"/>
  <c r="F17"/>
  <c r="D17" s="1"/>
  <c r="F18"/>
  <c r="D18" s="1"/>
  <c r="F19"/>
  <c r="D19" s="1"/>
  <c r="F20"/>
  <c r="D20" s="1"/>
  <c r="F21"/>
  <c r="D21" s="1"/>
  <c r="F22"/>
  <c r="D22" s="1"/>
  <c r="F23"/>
  <c r="D23" s="1"/>
  <c r="F24"/>
  <c r="D24" s="1"/>
  <c r="F25"/>
  <c r="D25" s="1"/>
  <c r="F26"/>
  <c r="D26" s="1"/>
  <c r="F27"/>
  <c r="D27" s="1"/>
  <c r="F28"/>
  <c r="D28" s="1"/>
  <c r="F29"/>
  <c r="D29" s="1"/>
  <c r="F30"/>
  <c r="D30" s="1"/>
  <c r="F31"/>
  <c r="D31" s="1"/>
  <c r="F32"/>
  <c r="D32" s="1"/>
  <c r="F33"/>
  <c r="D33" s="1"/>
  <c r="F34"/>
  <c r="D34" s="1"/>
  <c r="F35"/>
  <c r="D35" s="1"/>
  <c r="F36"/>
  <c r="D36" s="1"/>
  <c r="F37"/>
  <c r="D37" s="1"/>
  <c r="F38"/>
  <c r="D38" s="1"/>
  <c r="F39"/>
  <c r="D39" s="1"/>
  <c r="F40"/>
  <c r="D40" s="1"/>
  <c r="F41"/>
  <c r="D41" s="1"/>
  <c r="F42"/>
  <c r="D42" s="1"/>
  <c r="F43"/>
  <c r="D43" s="1"/>
  <c r="F44"/>
  <c r="D44" s="1"/>
  <c r="F45"/>
  <c r="D45" s="1"/>
  <c r="F46"/>
  <c r="D46" s="1"/>
  <c r="F47"/>
  <c r="D47" s="1"/>
  <c r="F48"/>
  <c r="D48" s="1"/>
  <c r="F49"/>
  <c r="D49" s="1"/>
  <c r="F50"/>
  <c r="D50" s="1"/>
  <c r="F51"/>
  <c r="D51" s="1"/>
  <c r="F52"/>
  <c r="D52" s="1"/>
  <c r="F53"/>
  <c r="D53" s="1"/>
  <c r="F54"/>
  <c r="D54" s="1"/>
  <c r="F55"/>
  <c r="D55" s="1"/>
  <c r="F56"/>
  <c r="D56" s="1"/>
  <c r="F57"/>
  <c r="D57" s="1"/>
  <c r="F58"/>
  <c r="D58" s="1"/>
  <c r="F59"/>
  <c r="D59" s="1"/>
  <c r="F60"/>
  <c r="D60" s="1"/>
  <c r="F62"/>
  <c r="D62" s="1"/>
  <c r="F63"/>
  <c r="D63" s="1"/>
  <c r="F64"/>
  <c r="D64" s="1"/>
  <c r="F65"/>
  <c r="D65" s="1"/>
  <c r="F66"/>
  <c r="D66" s="1"/>
  <c r="F67"/>
  <c r="D67" s="1"/>
  <c r="F68"/>
  <c r="D68" s="1"/>
  <c r="F69"/>
  <c r="D69" s="1"/>
  <c r="F70"/>
  <c r="D70" s="1"/>
  <c r="F71"/>
  <c r="D71" s="1"/>
  <c r="F72"/>
  <c r="D72" s="1"/>
  <c r="F11"/>
  <c r="D11" s="1"/>
  <c r="F12"/>
  <c r="D12" s="1"/>
  <c r="F13"/>
  <c r="D13" s="1"/>
  <c r="F10"/>
  <c r="D10" s="1"/>
  <c r="L25" i="15" l="1"/>
  <c r="F25"/>
  <c r="L8" i="12"/>
  <c r="L16"/>
  <c r="L17"/>
  <c r="L28"/>
  <c r="L29"/>
  <c r="L30"/>
  <c r="L31"/>
  <c r="L32"/>
  <c r="L33"/>
  <c r="L34"/>
  <c r="L35"/>
  <c r="L10"/>
  <c r="L11"/>
  <c r="L12"/>
  <c r="L13"/>
  <c r="L14"/>
  <c r="L15"/>
  <c r="L9"/>
  <c r="L5" i="10"/>
  <c r="L6"/>
  <c r="L7"/>
  <c r="L8"/>
  <c r="L9"/>
  <c r="L11"/>
  <c r="L12"/>
  <c r="L13"/>
  <c r="L14"/>
  <c r="L15"/>
  <c r="L4"/>
  <c r="L30"/>
  <c r="L31"/>
  <c r="L32"/>
  <c r="L33"/>
  <c r="L34"/>
  <c r="L35"/>
  <c r="L36"/>
  <c r="L37"/>
  <c r="L38"/>
  <c r="L39"/>
  <c r="L29"/>
  <c r="L25"/>
  <c r="L26"/>
  <c r="L27"/>
  <c r="L28"/>
  <c r="L24"/>
  <c r="F8"/>
  <c r="D27"/>
  <c r="F28"/>
  <c r="D28" s="1"/>
  <c r="F27"/>
  <c r="F26"/>
  <c r="D26" s="1"/>
  <c r="F25"/>
  <c r="D25" s="1"/>
  <c r="F24"/>
  <c r="D24" s="1"/>
  <c r="F20"/>
  <c r="D20" s="1"/>
  <c r="F19"/>
  <c r="D19" s="1"/>
  <c r="D9"/>
  <c r="D16"/>
  <c r="D17"/>
  <c r="D18"/>
  <c r="D30"/>
  <c r="D31"/>
  <c r="D32"/>
  <c r="D40"/>
  <c r="D8"/>
  <c r="F11"/>
  <c r="D11" s="1"/>
  <c r="D12"/>
  <c r="D13"/>
  <c r="D14"/>
  <c r="D15"/>
  <c r="F21"/>
  <c r="D21" s="1"/>
  <c r="F22"/>
  <c r="D22" s="1"/>
  <c r="F23"/>
  <c r="D23" s="1"/>
  <c r="F33"/>
  <c r="D33" s="1"/>
  <c r="F34"/>
  <c r="D34" s="1"/>
  <c r="F35"/>
  <c r="D35" s="1"/>
  <c r="F36"/>
  <c r="D36" s="1"/>
  <c r="F37"/>
  <c r="D37" s="1"/>
  <c r="F38"/>
  <c r="D38" s="1"/>
  <c r="F39"/>
  <c r="D39" s="1"/>
  <c r="F42"/>
  <c r="D42" s="1"/>
  <c r="F43"/>
  <c r="D43" s="1"/>
  <c r="F44"/>
  <c r="D44" s="1"/>
  <c r="F45"/>
  <c r="D45" s="1"/>
  <c r="F46"/>
  <c r="D46" s="1"/>
  <c r="F47"/>
  <c r="D47" s="1"/>
  <c r="F48"/>
  <c r="D48" s="1"/>
  <c r="F49"/>
  <c r="D49" s="1"/>
  <c r="F50"/>
  <c r="D50" s="1"/>
  <c r="F51"/>
  <c r="D51" s="1"/>
  <c r="F52"/>
  <c r="D52" s="1"/>
  <c r="F53"/>
  <c r="F54"/>
  <c r="F55"/>
  <c r="F56"/>
  <c r="F57"/>
  <c r="F58"/>
  <c r="D58" s="1"/>
  <c r="F4"/>
  <c r="D4" s="1"/>
  <c r="F5"/>
  <c r="D5" s="1"/>
  <c r="F6"/>
  <c r="D6" s="1"/>
  <c r="F7"/>
  <c r="D7" s="1"/>
  <c r="F2"/>
  <c r="D2" s="1"/>
  <c r="E16" i="12"/>
  <c r="C16" s="1"/>
  <c r="E17"/>
  <c r="C17" s="1"/>
  <c r="E18"/>
  <c r="C18" s="1"/>
  <c r="E28"/>
  <c r="C28" s="1"/>
  <c r="E29"/>
  <c r="C29" s="1"/>
  <c r="E30"/>
  <c r="C30" s="1"/>
  <c r="E31"/>
  <c r="C31" s="1"/>
  <c r="E32"/>
  <c r="C32" s="1"/>
  <c r="E33"/>
  <c r="C33" s="1"/>
  <c r="E34"/>
  <c r="C34" s="1"/>
  <c r="E35"/>
  <c r="C35" s="1"/>
  <c r="E8"/>
  <c r="C8" s="1"/>
  <c r="E9"/>
  <c r="C9" s="1"/>
  <c r="E10"/>
  <c r="E11"/>
  <c r="C11" s="1"/>
  <c r="E12"/>
  <c r="C12" s="1"/>
  <c r="E13"/>
  <c r="C13" s="1"/>
  <c r="E14"/>
  <c r="C14" s="1"/>
  <c r="E15"/>
  <c r="C15" s="1"/>
  <c r="E3"/>
  <c r="C3" s="1"/>
  <c r="E4"/>
  <c r="C4" s="1"/>
  <c r="E5"/>
  <c r="C5" s="1"/>
  <c r="E6"/>
  <c r="C6" s="1"/>
  <c r="E7"/>
  <c r="C7" s="1"/>
  <c r="E2"/>
  <c r="C2" s="1"/>
  <c r="M60" i="3"/>
  <c r="O60" s="1"/>
  <c r="L60"/>
  <c r="M59"/>
  <c r="O59" s="1"/>
  <c r="L59"/>
  <c r="M58"/>
  <c r="O58" s="1"/>
  <c r="L58"/>
  <c r="M57"/>
  <c r="O57" s="1"/>
  <c r="L57"/>
  <c r="M56"/>
  <c r="O56" s="1"/>
  <c r="L56"/>
  <c r="O55"/>
  <c r="M55"/>
  <c r="L55"/>
  <c r="M54"/>
  <c r="O54" s="1"/>
  <c r="G54"/>
  <c r="L54" s="1"/>
  <c r="M53"/>
  <c r="O53" s="1"/>
  <c r="L53"/>
  <c r="M52"/>
  <c r="O52" s="1"/>
  <c r="L52"/>
  <c r="M51"/>
  <c r="O51" s="1"/>
  <c r="K13" i="8"/>
  <c r="K12"/>
  <c r="K11"/>
  <c r="K10"/>
  <c r="K9"/>
  <c r="K8"/>
  <c r="G7"/>
  <c r="K7" s="1"/>
  <c r="K6"/>
  <c r="K5"/>
  <c r="L13"/>
  <c r="N13" s="1"/>
  <c r="L12"/>
  <c r="N12" s="1"/>
  <c r="L11"/>
  <c r="N11" s="1"/>
  <c r="L10"/>
  <c r="N10" s="1"/>
  <c r="L9"/>
  <c r="N9" s="1"/>
  <c r="L8"/>
  <c r="N8" s="1"/>
  <c r="L6"/>
  <c r="N6" s="1"/>
  <c r="L5"/>
  <c r="N5" s="1"/>
  <c r="L4"/>
  <c r="N4" s="1"/>
  <c r="L7" i="9"/>
  <c r="L6"/>
  <c r="L5"/>
  <c r="C10" i="12" l="1"/>
  <c r="L7" i="8"/>
  <c r="N7" s="1"/>
</calcChain>
</file>

<file path=xl/sharedStrings.xml><?xml version="1.0" encoding="utf-8"?>
<sst xmlns="http://schemas.openxmlformats.org/spreadsheetml/2006/main" count="1373" uniqueCount="439">
  <si>
    <t>Name</t>
  </si>
  <si>
    <t>Apple Gift Card USA 5$ 🇺🇸</t>
  </si>
  <si>
    <t>Serial Number</t>
  </si>
  <si>
    <t>BED-APLUSA01</t>
  </si>
  <si>
    <t>Amount After Fee</t>
  </si>
  <si>
    <t>OutPut (ENG)</t>
  </si>
  <si>
    <t>5$</t>
  </si>
  <si>
    <t>USD Cost</t>
  </si>
  <si>
    <t>Apple Gift Card USA 10$ 🇺🇸</t>
  </si>
  <si>
    <t>BED-APLUSA02</t>
  </si>
  <si>
    <t>10$</t>
  </si>
  <si>
    <t>Amount</t>
  </si>
  <si>
    <t>Apple Gift Card USA 20$ 🇺🇸</t>
  </si>
  <si>
    <t>BED-APLUSA03</t>
  </si>
  <si>
    <t>20$</t>
  </si>
  <si>
    <t>Apple Gift Card USA 50$ 🇺🇸</t>
  </si>
  <si>
    <t>BED-APLUSA04</t>
  </si>
  <si>
    <t>50$</t>
  </si>
  <si>
    <t>Apple Gift Card USA 100$ 🇺🇸</t>
  </si>
  <si>
    <t>BED-APLUSA05</t>
  </si>
  <si>
    <t>100$</t>
  </si>
  <si>
    <t>Apple Gift Card FR 10€ 🇫🇷</t>
  </si>
  <si>
    <t>BDE-APLFR01</t>
  </si>
  <si>
    <t>Apple Gift Card FR 15€ 🇫🇷</t>
  </si>
  <si>
    <t>BDE-APLFR02</t>
  </si>
  <si>
    <t>Apple Gift Card FR 50€ 🇫🇷</t>
  </si>
  <si>
    <t>BDE-APLFR03</t>
  </si>
  <si>
    <t>Apple Gift Card FR 100€ 🇫🇷</t>
  </si>
  <si>
    <t>BDE-APLFR04</t>
  </si>
  <si>
    <t>Apple Gift Card SPAIN 15€ 🇪🇸</t>
  </si>
  <si>
    <t>BDE-APLES01</t>
  </si>
  <si>
    <t>USD</t>
  </si>
  <si>
    <t>FR</t>
  </si>
  <si>
    <t>ES</t>
  </si>
  <si>
    <t>Apple Gift Card SPAIN 20€ 🇪🇸</t>
  </si>
  <si>
    <t>BDE-APLES02</t>
  </si>
  <si>
    <t>BDE-APLES03</t>
  </si>
  <si>
    <t>Apple Gift Card SPAIN 50€ 🇪🇸</t>
  </si>
  <si>
    <t>Apple Gift Card SPAIN 100€ 🇪🇸</t>
  </si>
  <si>
    <t>BDE-APLES04</t>
  </si>
  <si>
    <t>Apple Gift Card SPAIN 250€ 🇪🇸</t>
  </si>
  <si>
    <t>BDE-APLES05</t>
  </si>
  <si>
    <t>Apple Gift Card KSA 50SAR 🇸🇦</t>
  </si>
  <si>
    <t>KSA</t>
  </si>
  <si>
    <t>BDE-APLSA01</t>
  </si>
  <si>
    <t>50SAR</t>
  </si>
  <si>
    <t>Apple Gift Card KSA 100SAR 🇸🇦</t>
  </si>
  <si>
    <t>BDE-APLSA02</t>
  </si>
  <si>
    <t>100SAR</t>
  </si>
  <si>
    <t>Apple Gift Card KSA 200SAR 🇸🇦</t>
  </si>
  <si>
    <t>BDE-APLSA03</t>
  </si>
  <si>
    <t>200SAR</t>
  </si>
  <si>
    <t>Apple Gift Card KSA 500SAR 🇸🇦</t>
  </si>
  <si>
    <t>BDE-APLSA04</t>
  </si>
  <si>
    <t>500SAR</t>
  </si>
  <si>
    <t>Apple Gift Card KSA 1000SAR 🇸🇦</t>
  </si>
  <si>
    <t>BDE-APLSA05</t>
  </si>
  <si>
    <t>1000SAR</t>
  </si>
  <si>
    <t>Apple Gift Card UAE 50AED 🇦🇪</t>
  </si>
  <si>
    <t>BDE-APLUAE01</t>
  </si>
  <si>
    <t>50AED</t>
  </si>
  <si>
    <t>AED</t>
  </si>
  <si>
    <t>Apple Gift Card UAE 100AED 🇦🇪</t>
  </si>
  <si>
    <t>BDE-APLUAE02</t>
  </si>
  <si>
    <t>100AED</t>
  </si>
  <si>
    <t>Apple Gift Card UAE 200AED 🇦🇪</t>
  </si>
  <si>
    <t>BDE-APLUAE03</t>
  </si>
  <si>
    <t>200AED</t>
  </si>
  <si>
    <t>Apple Gift Card UAE 500AED 🇦🇪</t>
  </si>
  <si>
    <t>BDE-APLUAE04</t>
  </si>
  <si>
    <t>500AED</t>
  </si>
  <si>
    <t>Apple Gift Card UAE 1000AED 🇦🇪</t>
  </si>
  <si>
    <t>BDE-APLUAE05</t>
  </si>
  <si>
    <t>1000AED</t>
  </si>
  <si>
    <t>Country</t>
  </si>
  <si>
    <t>PlayStation Card USA 10$ 🇺🇸</t>
  </si>
  <si>
    <t>BED-PSNUSA01</t>
  </si>
  <si>
    <t>BED-PSNUSA02</t>
  </si>
  <si>
    <t>US</t>
  </si>
  <si>
    <t>PlayStation Card USA 25$ 🇺🇸</t>
  </si>
  <si>
    <t>25$</t>
  </si>
  <si>
    <t>PlayStation Card USA 50$ 🇺🇸</t>
  </si>
  <si>
    <t>BED-PSNUSA03</t>
  </si>
  <si>
    <t>PlayStation Card USA 100$ 🇺🇸</t>
  </si>
  <si>
    <t>BED-PSNUSA04</t>
  </si>
  <si>
    <t>GB</t>
  </si>
  <si>
    <t>PlayStation Card UK 10£ 🇬🇧</t>
  </si>
  <si>
    <t>BED-PSNUK01</t>
  </si>
  <si>
    <t>10£</t>
  </si>
  <si>
    <t>PlayStation Card UK 20£ 🇬🇧</t>
  </si>
  <si>
    <t>BED-PSNUK02</t>
  </si>
  <si>
    <t>20£</t>
  </si>
  <si>
    <t>PlayStation Card UK 40£ 🇬🇧</t>
  </si>
  <si>
    <t>40£</t>
  </si>
  <si>
    <t>BED-PSNUK03</t>
  </si>
  <si>
    <t>PlayStation Card UK 50£ 🇬🇧</t>
  </si>
  <si>
    <t>BED-PSNUK04</t>
  </si>
  <si>
    <t>50£</t>
  </si>
  <si>
    <t>PlayStation Card UK 100£ 🇬🇧</t>
  </si>
  <si>
    <t>BED-PSNUK05</t>
  </si>
  <si>
    <t>100£</t>
  </si>
  <si>
    <t>PlayStation Card KSA 20$ 🇸🇦</t>
  </si>
  <si>
    <t>BED-PSNSA01</t>
  </si>
  <si>
    <t>PlayStation Card KSA 50$ 🇸🇦</t>
  </si>
  <si>
    <t>BED-PSNSA02</t>
  </si>
  <si>
    <t>PlayStation Card KSA 100$ 🇸🇦</t>
  </si>
  <si>
    <t>BED-PSNSA03</t>
  </si>
  <si>
    <t>PlayStation Card FRANCE 10€ 🇫🇷</t>
  </si>
  <si>
    <t>BED-PSNFR01</t>
  </si>
  <si>
    <t>PlayStation Card FRANCE 20€ 🇫🇷</t>
  </si>
  <si>
    <t>BED-PSNFR02</t>
  </si>
  <si>
    <t>PlayStation Card FRANCE 50€ 🇫🇷</t>
  </si>
  <si>
    <t>BED-PSNFR03</t>
  </si>
  <si>
    <t>PlayStation Card FRANCE 60€ 🇫🇷</t>
  </si>
  <si>
    <t>BED-PSNFR04</t>
  </si>
  <si>
    <t>PlayStation Card FRANCE 100€ 🇫🇷</t>
  </si>
  <si>
    <t>BED-PSNFR05</t>
  </si>
  <si>
    <t>XBOX Card USA 10$ 🇺🇸</t>
  </si>
  <si>
    <t>BED-XBOXUSA01</t>
  </si>
  <si>
    <t>XBOX Card USA 20$ 🇺🇸</t>
  </si>
  <si>
    <t>BED-XBOXUSA02</t>
  </si>
  <si>
    <t>XBOX Card USA 50$ 🇺🇸</t>
  </si>
  <si>
    <t>BED-XBOXUSA03</t>
  </si>
  <si>
    <t>XBOX Card USA 100$ 🇺🇸</t>
  </si>
  <si>
    <t>BED-XBOXUSA04</t>
  </si>
  <si>
    <t>BDE-NETFLIX01</t>
  </si>
  <si>
    <t>NETFLIX Card 15 months</t>
  </si>
  <si>
    <t>BDE-NETFLIX02</t>
  </si>
  <si>
    <t>60$</t>
  </si>
  <si>
    <t>USD Cost cryptomate</t>
  </si>
  <si>
    <t>USD Cost seagm</t>
  </si>
  <si>
    <t>150$</t>
  </si>
  <si>
    <t>200$</t>
  </si>
  <si>
    <t>250$</t>
  </si>
  <si>
    <t>300$</t>
  </si>
  <si>
    <t>500$</t>
  </si>
  <si>
    <t>Apple Gift Card USA 150$ 🇺🇸</t>
  </si>
  <si>
    <t>Apple Gift Card USA 200$ 🇺🇸</t>
  </si>
  <si>
    <t>Apple Gift Card USA 250$ 🇺🇸</t>
  </si>
  <si>
    <t>Apple Gift Card USA 300$ 🇺🇸</t>
  </si>
  <si>
    <t>Apple Gift Card USA 500$ 🇺🇸</t>
  </si>
  <si>
    <t>CAD</t>
  </si>
  <si>
    <r>
      <t xml:space="preserve">Apple Gift Card CAD 500$ </t>
    </r>
    <r>
      <rPr>
        <sz val="12"/>
        <color theme="1"/>
        <rFont val="Calibri"/>
        <family val="2"/>
        <scheme val="minor"/>
      </rPr>
      <t>ca</t>
    </r>
  </si>
  <si>
    <r>
      <t xml:space="preserve">Apple Gift Card CAD 5$ </t>
    </r>
    <r>
      <rPr>
        <sz val="12"/>
        <color theme="1"/>
        <rFont val="Calibri"/>
        <family val="2"/>
        <scheme val="minor"/>
      </rPr>
      <t>ca</t>
    </r>
  </si>
  <si>
    <r>
      <t xml:space="preserve">Apple Gift Card CAD 10$ </t>
    </r>
    <r>
      <rPr>
        <sz val="12"/>
        <color theme="1"/>
        <rFont val="Calibri"/>
        <family val="2"/>
        <scheme val="minor"/>
      </rPr>
      <t>ca</t>
    </r>
  </si>
  <si>
    <r>
      <t xml:space="preserve">Apple Gift Card CAD 20$ </t>
    </r>
    <r>
      <rPr>
        <sz val="12"/>
        <color theme="1"/>
        <rFont val="Calibri"/>
        <family val="2"/>
        <scheme val="minor"/>
      </rPr>
      <t>ca</t>
    </r>
  </si>
  <si>
    <r>
      <t xml:space="preserve">Apple Gift Card CAD 50$ </t>
    </r>
    <r>
      <rPr>
        <sz val="12"/>
        <color theme="1"/>
        <rFont val="Calibri"/>
        <family val="2"/>
        <scheme val="minor"/>
      </rPr>
      <t>ca</t>
    </r>
  </si>
  <si>
    <r>
      <t xml:space="preserve">Apple Gift Card CAD 100$ </t>
    </r>
    <r>
      <rPr>
        <sz val="12"/>
        <color theme="1"/>
        <rFont val="Calibri"/>
        <family val="2"/>
        <scheme val="minor"/>
      </rPr>
      <t>ca</t>
    </r>
  </si>
  <si>
    <r>
      <t xml:space="preserve">Apple Gift Card CAD 150$ </t>
    </r>
    <r>
      <rPr>
        <sz val="12"/>
        <color theme="1"/>
        <rFont val="Calibri"/>
        <family val="2"/>
        <scheme val="minor"/>
      </rPr>
      <t>ca</t>
    </r>
  </si>
  <si>
    <r>
      <t xml:space="preserve">Apple Gift Card CAD 200$ </t>
    </r>
    <r>
      <rPr>
        <sz val="12"/>
        <color theme="1"/>
        <rFont val="Calibri"/>
        <family val="2"/>
        <scheme val="minor"/>
      </rPr>
      <t>ca</t>
    </r>
  </si>
  <si>
    <r>
      <t xml:space="preserve">Apple Gift Card CAD 250$ </t>
    </r>
    <r>
      <rPr>
        <sz val="12"/>
        <color theme="1"/>
        <rFont val="Calibri"/>
        <family val="2"/>
        <scheme val="minor"/>
      </rPr>
      <t>ca</t>
    </r>
  </si>
  <si>
    <r>
      <t xml:space="preserve">Apple Gift Card CAD 300$ </t>
    </r>
    <r>
      <rPr>
        <sz val="12"/>
        <color theme="1"/>
        <rFont val="Calibri"/>
        <family val="2"/>
        <scheme val="minor"/>
      </rPr>
      <t>ca</t>
    </r>
  </si>
  <si>
    <t>USDCOST</t>
  </si>
  <si>
    <t>USD COST</t>
  </si>
  <si>
    <t>PUBG MOBILE 325uc</t>
  </si>
  <si>
    <t>4.3</t>
  </si>
  <si>
    <t>PUBG MOBILE 660uc</t>
  </si>
  <si>
    <t>8.6</t>
  </si>
  <si>
    <t>PUBG MOBILE 1800uc</t>
  </si>
  <si>
    <t>21.5</t>
  </si>
  <si>
    <t>PUBG MOBILE 3850uc</t>
  </si>
  <si>
    <t>PUBG MOBILE 8100uc</t>
  </si>
  <si>
    <t>325uc</t>
  </si>
  <si>
    <t>660uc</t>
  </si>
  <si>
    <t>1800uc</t>
  </si>
  <si>
    <t>3850uc</t>
  </si>
  <si>
    <t>8100uc</t>
  </si>
  <si>
    <t>RIM TEC</t>
  </si>
  <si>
    <t>5.47</t>
  </si>
  <si>
    <t>PUBG MOBILE 16200uc</t>
  </si>
  <si>
    <t>16200uc</t>
  </si>
  <si>
    <t>PUBG MOBILE 24300uc</t>
  </si>
  <si>
    <t>24300uc</t>
  </si>
  <si>
    <t>16.16</t>
  </si>
  <si>
    <t>Anghami card  3 months</t>
  </si>
  <si>
    <t>3 months</t>
  </si>
  <si>
    <t>6 months</t>
  </si>
  <si>
    <t>12 months</t>
  </si>
  <si>
    <t>Anghami card 6 months</t>
  </si>
  <si>
    <t>Anghami card 12 months</t>
  </si>
  <si>
    <t>48.49</t>
  </si>
  <si>
    <t>26.58</t>
  </si>
  <si>
    <t>250.74</t>
  </si>
  <si>
    <t>699.72</t>
  </si>
  <si>
    <t>1137.36</t>
  </si>
  <si>
    <t>2057.58</t>
  </si>
  <si>
    <t>1 month</t>
  </si>
  <si>
    <t>Anghami card 1 month</t>
  </si>
  <si>
    <t>BED-PUBG 02</t>
  </si>
  <si>
    <t>BED-PUBG 03</t>
  </si>
  <si>
    <t>BED-PUBG 04</t>
  </si>
  <si>
    <t>BED-PUBG 05</t>
  </si>
  <si>
    <t>BED-PUBG 06</t>
  </si>
  <si>
    <t>BED-PUBG 07</t>
  </si>
  <si>
    <t>BED-PUBG 08</t>
  </si>
  <si>
    <t>USD Cost token</t>
  </si>
  <si>
    <t>57.03</t>
  </si>
  <si>
    <t>13.31</t>
  </si>
  <si>
    <t>130.33</t>
  </si>
  <si>
    <t>4.5</t>
  </si>
  <si>
    <t>22.5</t>
  </si>
  <si>
    <t>4.8</t>
  </si>
  <si>
    <t>9.3</t>
  </si>
  <si>
    <t>390.6</t>
  </si>
  <si>
    <t>201.6</t>
  </si>
  <si>
    <t>22.8</t>
  </si>
  <si>
    <t>957.6</t>
  </si>
  <si>
    <t>45.3</t>
  </si>
  <si>
    <t>1902.6</t>
  </si>
  <si>
    <t>89.3</t>
  </si>
  <si>
    <t>3750.6</t>
  </si>
  <si>
    <t>178.3</t>
  </si>
  <si>
    <t>7488.6</t>
  </si>
  <si>
    <t>270.3</t>
  </si>
  <si>
    <t>11352.6</t>
  </si>
  <si>
    <t>USD Cost TOKEN</t>
  </si>
  <si>
    <t>15$</t>
  </si>
  <si>
    <t>BED-XBOXUSA05</t>
  </si>
  <si>
    <t>BED-XBOXUSA06</t>
  </si>
  <si>
    <t>CA</t>
  </si>
  <si>
    <t>XBOX Gift Card USA10us</t>
  </si>
  <si>
    <t>XBOX Gift Card USA15us</t>
  </si>
  <si>
    <t>XBOX Gift Card USA20us</t>
  </si>
  <si>
    <t>XBOX Gift Card USA25us</t>
  </si>
  <si>
    <t>XBOX Gift Card USA50us</t>
  </si>
  <si>
    <t>XBOX Gift Card USA100us</t>
  </si>
  <si>
    <t>XBOX Gift Card CANADA 15ca</t>
  </si>
  <si>
    <t>BED-XBOXCA01</t>
  </si>
  <si>
    <t>BED-XBOXCA02</t>
  </si>
  <si>
    <t>BED-XBOXCA03</t>
  </si>
  <si>
    <t>BED-XBOXCA04</t>
  </si>
  <si>
    <t>BED-XBOXCA05</t>
  </si>
  <si>
    <t>XBOX Gift Card CANADA 25ca</t>
  </si>
  <si>
    <t>XBOX Gift Card CANADA 50ca</t>
  </si>
  <si>
    <t>XBOX Gift Card CANADA 75ca</t>
  </si>
  <si>
    <t>XBOX Gift Card CANADA 100ca</t>
  </si>
  <si>
    <t>75$</t>
  </si>
  <si>
    <t>USD Cost gmsea</t>
  </si>
  <si>
    <t>App Store Gift Card TRY 200$ tr</t>
  </si>
  <si>
    <t>App Store Gift Card TRY 250$ tr</t>
  </si>
  <si>
    <t>App Store Gift Card TRY 300$ tr</t>
  </si>
  <si>
    <t>App Store Gift Card TRY 400$ tr</t>
  </si>
  <si>
    <t>App Store Gift Card TRY 500$ tr</t>
  </si>
  <si>
    <t>TRY</t>
  </si>
  <si>
    <t>App Store Gift Card GER 5$ ger</t>
  </si>
  <si>
    <t>App Store Gift Card GER 10$ ger</t>
  </si>
  <si>
    <t>App Store Gift Card GER 20$ ger</t>
  </si>
  <si>
    <t>App Store Gift Card GER 50$ ger</t>
  </si>
  <si>
    <t>App Store Gift Card GER 75$ ger</t>
  </si>
  <si>
    <t>App Store Gift Card GER 100$ ger</t>
  </si>
  <si>
    <t>App Store Gift Card GER 150$ ger</t>
  </si>
  <si>
    <t>GER</t>
  </si>
  <si>
    <t>400$</t>
  </si>
  <si>
    <t>350$</t>
  </si>
  <si>
    <t>600$</t>
  </si>
  <si>
    <t>800$</t>
  </si>
  <si>
    <t>1000$</t>
  </si>
  <si>
    <t>1200$</t>
  </si>
  <si>
    <t>1300$</t>
  </si>
  <si>
    <t>1500$</t>
  </si>
  <si>
    <t>App Store Gift Card TRY 350$ tr</t>
  </si>
  <si>
    <t>App Store Gift Card TRY 600$ tr</t>
  </si>
  <si>
    <t>App Store Gift Card TRY 800$ tr</t>
  </si>
  <si>
    <t>App Store Gift Card TRY 1000$ tr</t>
  </si>
  <si>
    <t>App Store Gift Card TRY 1200$ tr</t>
  </si>
  <si>
    <t>App Store Gift Card TRY 1300$ tr</t>
  </si>
  <si>
    <t>App Store Gift Card TRY 1500$ tr</t>
  </si>
  <si>
    <t>UAE</t>
  </si>
  <si>
    <t xml:space="preserve">PlayStation Card UAE 5$ </t>
  </si>
  <si>
    <t>X</t>
  </si>
  <si>
    <t xml:space="preserve">PlayStation Card UAE 10$ </t>
  </si>
  <si>
    <t xml:space="preserve">PlayStation Card UAE 20$ </t>
  </si>
  <si>
    <t>40$</t>
  </si>
  <si>
    <t>70$</t>
  </si>
  <si>
    <t xml:space="preserve">PlayStation Card UAE 40$ </t>
  </si>
  <si>
    <t xml:space="preserve">PlayStation Card UAE 50$ </t>
  </si>
  <si>
    <t xml:space="preserve">PlayStation Card UAE 70$ </t>
  </si>
  <si>
    <t xml:space="preserve">PlayStation Card UAE 100$ </t>
  </si>
  <si>
    <t>USD Cost coinsbee</t>
  </si>
  <si>
    <t>INDIA</t>
  </si>
  <si>
    <t>PlayStation Card IN 1000inr</t>
  </si>
  <si>
    <t>PlayStation Card IN 2000inr</t>
  </si>
  <si>
    <t>PlayStation Card IN 3000inr</t>
  </si>
  <si>
    <t>PlayStation Card IN 4000inr</t>
  </si>
  <si>
    <t>PlayStation Card IN 5000inr</t>
  </si>
  <si>
    <t>1000inr</t>
  </si>
  <si>
    <t>2000inr</t>
  </si>
  <si>
    <t>3000inr</t>
  </si>
  <si>
    <t>4000inr</t>
  </si>
  <si>
    <t>5000inr</t>
  </si>
  <si>
    <t>8000inr</t>
  </si>
  <si>
    <t>benefice</t>
  </si>
  <si>
    <t>CLUSDT</t>
  </si>
  <si>
    <t>BED-FREE FIRE 01</t>
  </si>
  <si>
    <t>USD Cost Coinsbee</t>
  </si>
  <si>
    <t>BED-FREE FIRE 02</t>
  </si>
  <si>
    <t>BED-FREE FIRE 03</t>
  </si>
  <si>
    <t>FREE FIRE 1188</t>
  </si>
  <si>
    <t>FREE FIRE 2420</t>
  </si>
  <si>
    <t>Yalla Ludo Gold</t>
  </si>
  <si>
    <t>Yalla Ludo Diamond</t>
  </si>
  <si>
    <t>USD Cost Seagm</t>
  </si>
  <si>
    <t>Nintendo eShop Card</t>
  </si>
  <si>
    <t>USA</t>
  </si>
  <si>
    <t>35$</t>
  </si>
  <si>
    <t>SOURCE</t>
  </si>
  <si>
    <t>2 shahid</t>
  </si>
  <si>
    <t>1 netflix</t>
  </si>
  <si>
    <t>3 OSN+/HBO</t>
  </si>
  <si>
    <t>4 STARZPLAY</t>
  </si>
  <si>
    <t xml:space="preserve"> </t>
  </si>
  <si>
    <t>offgamers</t>
  </si>
  <si>
    <t>shahid global 3 moi</t>
  </si>
  <si>
    <t>shahid global 12 moi</t>
  </si>
  <si>
    <t>OSN+ algeria 1 moi</t>
  </si>
  <si>
    <t>OSN+ algeria 3 moi</t>
  </si>
  <si>
    <t>OSN+ algeria 6 moi</t>
  </si>
  <si>
    <t>OSN+ algeria 12 moi</t>
  </si>
  <si>
    <t>OSN+ morocco 3 moi</t>
  </si>
  <si>
    <t>OSN+ morocco 6 moi</t>
  </si>
  <si>
    <t>OSN+ morocco 12 moi</t>
  </si>
  <si>
    <t>STARZPLAY algeria 1 moi</t>
  </si>
  <si>
    <t>STARZPLAY morocco 1 moi</t>
  </si>
  <si>
    <t>mtcgame</t>
  </si>
  <si>
    <t>netflix gift card 20$</t>
  </si>
  <si>
    <t>netflix gift card 60$</t>
  </si>
  <si>
    <t>CRUNCHYROLL 1 moi</t>
  </si>
  <si>
    <t>CRUNCHYROLL 3 moi</t>
  </si>
  <si>
    <t>CRUNCHYROLL 12 moi</t>
  </si>
  <si>
    <t>gold4cards</t>
  </si>
  <si>
    <t>Watch it Premium Monthly Without Ads</t>
  </si>
  <si>
    <t>Watch it Premium Yearly Without Ads</t>
  </si>
  <si>
    <t xml:space="preserve">FREE FIRE 583 </t>
  </si>
  <si>
    <t>FREE FIRE 110</t>
  </si>
  <si>
    <t>FREE FIRE 231</t>
  </si>
  <si>
    <t>BED-FREE FIRE 04</t>
  </si>
  <si>
    <t>BED-FREE FIRE 05</t>
  </si>
  <si>
    <t>1$</t>
  </si>
  <si>
    <t>2$</t>
  </si>
  <si>
    <t>AMOUNT AFTR FEE</t>
  </si>
  <si>
    <t>seagm</t>
  </si>
  <si>
    <t>kRYPTOMATE</t>
  </si>
  <si>
    <t>AMOUNT</t>
  </si>
  <si>
    <t>gift card</t>
  </si>
  <si>
    <t>BENEFICE</t>
  </si>
  <si>
    <t>amount</t>
  </si>
  <si>
    <t>sseagm</t>
  </si>
  <si>
    <t>coinsbe</t>
  </si>
  <si>
    <t>USD COST MRU</t>
  </si>
  <si>
    <t>USDCOST MRU</t>
  </si>
  <si>
    <t>SEAGM</t>
  </si>
  <si>
    <t>PlayStation Card IN 8000inr</t>
  </si>
  <si>
    <t xml:space="preserve">USD COST MRU </t>
  </si>
  <si>
    <t>Watch it Standard Yearly with ads</t>
  </si>
  <si>
    <t>crunchyroll</t>
  </si>
  <si>
    <t xml:space="preserve">520poins </t>
  </si>
  <si>
    <t>1070 poins</t>
  </si>
  <si>
    <t>2200 poins</t>
  </si>
  <si>
    <t>5750 poins</t>
  </si>
  <si>
    <t>12000 poins</t>
  </si>
  <si>
    <t>499 silver</t>
  </si>
  <si>
    <t>999 silver</t>
  </si>
  <si>
    <t>1999 silver</t>
  </si>
  <si>
    <t>4999 silver</t>
  </si>
  <si>
    <t>9999 silver</t>
  </si>
  <si>
    <t>fc mobile morocco</t>
  </si>
  <si>
    <t>FREE FIRE 100*10</t>
  </si>
  <si>
    <t>FREE FIRE 210*10</t>
  </si>
  <si>
    <t>FREE FIRE 530*10</t>
  </si>
  <si>
    <t>FREE FIRE 1080*10</t>
  </si>
  <si>
    <t>FREE FIRE 2200*5</t>
  </si>
  <si>
    <t>Apple Gift Card USA 2$ 🇺🇸</t>
  </si>
  <si>
    <t>NordVPN</t>
  </si>
  <si>
    <t>surfshark</t>
  </si>
  <si>
    <t>NordVPN 12 MONTHS</t>
  </si>
  <si>
    <t>NordVPN 1 MONTH</t>
  </si>
  <si>
    <t>NordVPN 6 MONTHS</t>
  </si>
  <si>
    <t>120$</t>
  </si>
  <si>
    <t>App Store Gift Card TRY 75$ tr</t>
  </si>
  <si>
    <t>App Store Gift Card TRY 120$ tr</t>
  </si>
  <si>
    <t>surfshark one 12 months</t>
  </si>
  <si>
    <t>surfshark one 24 months</t>
  </si>
  <si>
    <t>Sٍ</t>
  </si>
  <si>
    <t>STARZPLAY morocco 3 mois</t>
  </si>
  <si>
    <t>STARZPLAY algeria 3 mois</t>
  </si>
  <si>
    <t>STARZPLAY algeria 6 mois</t>
  </si>
  <si>
    <t>STARZPLAY morocco 6 mois</t>
  </si>
  <si>
    <t>STARZPLAY algeria 12 mois</t>
  </si>
  <si>
    <t>STARZPLAY morocco 12 mois</t>
  </si>
  <si>
    <t>STEAM GIFT CARD</t>
  </si>
  <si>
    <t>30$</t>
  </si>
  <si>
    <t>usa</t>
  </si>
  <si>
    <t>ksa</t>
  </si>
  <si>
    <t>uae</t>
  </si>
  <si>
    <t>20SA</t>
  </si>
  <si>
    <t>40SA</t>
  </si>
  <si>
    <t>50SA</t>
  </si>
  <si>
    <t>100SA</t>
  </si>
  <si>
    <t>200SA</t>
  </si>
  <si>
    <t>400SA</t>
  </si>
  <si>
    <t>20AE</t>
  </si>
  <si>
    <t>40AE</t>
  </si>
  <si>
    <t>50AE</t>
  </si>
  <si>
    <t>75AE</t>
  </si>
  <si>
    <t>100AE</t>
  </si>
  <si>
    <t>200AE</t>
  </si>
  <si>
    <t>400AE</t>
  </si>
  <si>
    <t>es</t>
  </si>
  <si>
    <t>PlayStation Card SPAIN 10€ es</t>
  </si>
  <si>
    <t>PlayStation Card SPAIN 20€ es</t>
  </si>
  <si>
    <t>PlayStation Card SPAIN 50€ es</t>
  </si>
  <si>
    <t>PlayStation Card SPAIN 60€ es</t>
  </si>
  <si>
    <t>PlayStation Card SPAIN 80€ es</t>
  </si>
  <si>
    <t>PlayStation Card SPAIN 100€ es</t>
  </si>
  <si>
    <t>Seagm</t>
  </si>
  <si>
    <t>Coinsbee</t>
  </si>
  <si>
    <t>token</t>
  </si>
  <si>
    <t>cryptomate</t>
  </si>
  <si>
    <t>EG</t>
  </si>
  <si>
    <t>LUDO STAR</t>
  </si>
  <si>
    <t>App Store Gift Card TRY 150$ tr</t>
  </si>
  <si>
    <t>XBOX Gift Card USA5us</t>
  </si>
  <si>
    <t>NETFLIX card 5 months 20$</t>
  </si>
  <si>
    <t>gmsea</t>
  </si>
  <si>
    <t>NETFLIX 720P 5M</t>
  </si>
  <si>
    <t>NETFLIX 720P 15M</t>
  </si>
  <si>
    <t>NETFLIX 4K 2M</t>
  </si>
  <si>
    <t>NETFLIX 4K 6M</t>
  </si>
  <si>
    <t>NETFLIX 4K 10M</t>
  </si>
  <si>
    <t>SERVICE FEE</t>
  </si>
  <si>
    <t>TOTAL</t>
  </si>
  <si>
    <t>G</t>
  </si>
  <si>
    <t>800 Robux</t>
  </si>
  <si>
    <t>lotkeys</t>
  </si>
  <si>
    <t>2000 Robux</t>
  </si>
  <si>
    <t>4500 Robux</t>
  </si>
  <si>
    <t>10000 Robux</t>
  </si>
  <si>
    <t>USDTCOST</t>
  </si>
  <si>
    <t>RATE</t>
  </si>
</sst>
</file>

<file path=xl/styles.xml><?xml version="1.0" encoding="utf-8"?>
<styleSheet xmlns="http://schemas.openxmlformats.org/spreadsheetml/2006/main">
  <numFmts count="1">
    <numFmt numFmtId="164" formatCode="#,##0\ &quot;€&quot;;[Red]\-#,##0\ &quot;€&quot;"/>
  </numFmts>
  <fonts count="15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444444"/>
      <name val="Calibri"/>
      <family val="2"/>
      <scheme val="minor"/>
    </font>
    <font>
      <sz val="14"/>
      <color rgb="FF212529"/>
      <name val="Calibri"/>
      <family val="2"/>
      <scheme val="minor"/>
    </font>
    <font>
      <sz val="8"/>
      <name val="Calibri"/>
      <family val="2"/>
      <scheme val="minor"/>
    </font>
    <font>
      <sz val="14"/>
      <color rgb="FF000000"/>
      <name val="Arial"/>
      <family val="2"/>
    </font>
    <font>
      <sz val="18"/>
      <color rgb="FF000000"/>
      <name val="Arial"/>
      <family val="2"/>
    </font>
    <font>
      <sz val="48"/>
      <color theme="1"/>
      <name val="Calibri"/>
      <family val="2"/>
      <scheme val="minor"/>
    </font>
    <font>
      <sz val="16"/>
      <color rgb="FF444444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4"/>
      <name val="Calibri"/>
      <family val="2"/>
      <scheme val="minor"/>
    </font>
    <font>
      <sz val="4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1" xfId="0" applyFont="1" applyBorder="1" applyAlignment="1">
      <alignment horizontal="center" wrapText="1"/>
    </xf>
    <xf numFmtId="0" fontId="0" fillId="0" borderId="1" xfId="0" applyBorder="1" applyAlignment="1">
      <alignment wrapText="1"/>
    </xf>
    <xf numFmtId="0" fontId="2" fillId="0" borderId="0" xfId="0" applyFont="1" applyBorder="1" applyAlignment="1">
      <alignment horizontal="center" wrapText="1"/>
    </xf>
    <xf numFmtId="0" fontId="0" fillId="0" borderId="0" xfId="0" applyBorder="1" applyAlignment="1">
      <alignment wrapText="1"/>
    </xf>
    <xf numFmtId="49" fontId="2" fillId="0" borderId="0" xfId="0" applyNumberFormat="1" applyFont="1" applyAlignment="1">
      <alignment horizontal="center"/>
    </xf>
    <xf numFmtId="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2" fillId="0" borderId="1" xfId="0" applyNumberFormat="1" applyFont="1" applyBorder="1" applyAlignment="1">
      <alignment horizont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0" borderId="0" xfId="0" applyNumberFormat="1" applyFont="1" applyBorder="1" applyAlignment="1">
      <alignment horizontal="center" wrapText="1"/>
    </xf>
    <xf numFmtId="164" fontId="3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 vertical="center"/>
    </xf>
    <xf numFmtId="0" fontId="12" fillId="0" borderId="0" xfId="0" applyNumberFormat="1" applyFont="1" applyFill="1" applyBorder="1" applyAlignment="1">
      <alignment horizontal="center"/>
    </xf>
    <xf numFmtId="0" fontId="12" fillId="0" borderId="0" xfId="0" applyNumberFormat="1" applyFont="1" applyFill="1" applyBorder="1" applyAlignment="1">
      <alignment horizontal="center" wrapText="1"/>
    </xf>
    <xf numFmtId="0" fontId="14" fillId="0" borderId="0" xfId="0" applyFont="1" applyFill="1" applyBorder="1"/>
    <xf numFmtId="0" fontId="12" fillId="0" borderId="0" xfId="0" applyFont="1" applyFill="1" applyBorder="1" applyAlignment="1">
      <alignment horizontal="left"/>
    </xf>
    <xf numFmtId="0" fontId="12" fillId="0" borderId="0" xfId="0" applyFont="1" applyFill="1" applyBorder="1" applyAlignment="1">
      <alignment horizontal="center" wrapText="1"/>
    </xf>
    <xf numFmtId="0" fontId="2" fillId="0" borderId="0" xfId="0" applyFont="1"/>
    <xf numFmtId="0" fontId="2" fillId="0" borderId="0" xfId="0" applyFont="1" applyBorder="1"/>
    <xf numFmtId="0" fontId="2" fillId="0" borderId="0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7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textRotation="0" wrapText="0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textRotation="0" wrapText="0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relativeIndent="255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relativeIndent="255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scheme val="none"/>
      </font>
      <alignment horizontal="center" vertical="center" textRotation="0" wrapText="0" indent="0" relativeIndent="255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textRotation="0" wrapText="0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textRotation="0" wrapText="0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relativeIndent="255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relativeIndent="255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relativeIndent="255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relativeIndent="255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relativeIndent="255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1" defaultTableStyle="TableStyleMedium2" defaultPivotStyle="PivotStyleMedium9">
    <tableStyle name="Style de tableau 1" pivot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id="3" name="Tableau14" displayName="Tableau14" ref="A41" headerRowCount="0" totalsRowShown="0" headerRowDxfId="70" dataDxfId="68" headerRowBorderDxfId="69">
  <tableColumns count="1">
    <tableColumn id="1" name="Colonne1" headerRowDxfId="67" dataDxfId="66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id="1" name="Tableau1" displayName="Tableau1" ref="A1:N1" headerRowCount="0" totalsRowShown="0" headerRowDxfId="65" dataDxfId="63" headerRowBorderDxfId="64" tableBorderDxfId="62" totalsRowBorderDxfId="61">
  <tableColumns count="14">
    <tableColumn id="1" name="Colonne1" headerRowDxfId="60" dataDxfId="59"/>
    <tableColumn id="2" name="Colonne2" headerRowDxfId="58" dataDxfId="57"/>
    <tableColumn id="3" name="Colonne3" headerRowDxfId="56" dataDxfId="55"/>
    <tableColumn id="15" name="Colonne15" headerRowDxfId="54" dataDxfId="53"/>
    <tableColumn id="14" name="Colonne14" headerRowDxfId="52" dataDxfId="51"/>
    <tableColumn id="12" name="Colonne13" headerRowDxfId="50" dataDxfId="49"/>
    <tableColumn id="4" name="Colonne4" headerRowDxfId="48" dataDxfId="47"/>
    <tableColumn id="5" name="Colonne5" headerRowDxfId="46" dataDxfId="45"/>
    <tableColumn id="9" name="Colonne12" headerRowDxfId="44" dataDxfId="43"/>
    <tableColumn id="6" name="Colonne6" headerRowDxfId="42" dataDxfId="41"/>
    <tableColumn id="7" name="Colonne7" headerRowDxfId="40" dataDxfId="39"/>
    <tableColumn id="10" name="Colonne10" headerRowDxfId="38" dataDxfId="37"/>
    <tableColumn id="13" name="Colonne9" headerRowDxfId="36" dataDxfId="35"/>
    <tableColumn id="11" name="Colonne11" headerRowDxfId="34" dataDxfId="33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id="4" name="Tableau15" displayName="Tableau15" ref="A1:N1" headerRowCount="0" totalsRowShown="0" headerRowDxfId="32" dataDxfId="30" headerRowBorderDxfId="31" tableBorderDxfId="29" totalsRowBorderDxfId="28">
  <tableColumns count="14">
    <tableColumn id="1" name="Colonne1" headerRowDxfId="27" dataDxfId="26"/>
    <tableColumn id="2" name="Colonne2" headerRowDxfId="25" dataDxfId="24"/>
    <tableColumn id="3" name="Colonne3" headerRowDxfId="23" dataDxfId="22"/>
    <tableColumn id="15" name="Colonne15" headerRowDxfId="21" dataDxfId="20"/>
    <tableColumn id="14" name="Colonne14" headerRowDxfId="19" dataDxfId="18"/>
    <tableColumn id="12" name="Colonne13" headerRowDxfId="17" dataDxfId="16"/>
    <tableColumn id="4" name="Colonne4" headerRowDxfId="15" dataDxfId="14"/>
    <tableColumn id="5" name="Colonne5" headerRowDxfId="13" dataDxfId="12"/>
    <tableColumn id="9" name="Colonne12" headerRowDxfId="11" dataDxfId="10"/>
    <tableColumn id="6" name="Colonne6" headerRowDxfId="9" dataDxfId="8"/>
    <tableColumn id="7" name="Colonne7" headerRowDxfId="7" dataDxfId="6"/>
    <tableColumn id="10" name="Colonne10" headerRowDxfId="5" dataDxfId="4"/>
    <tableColumn id="13" name="Colonne9" headerRowDxfId="3" dataDxfId="2"/>
    <tableColumn id="11" name="Colonne11" headerRowDxfId="1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G59"/>
  <sheetViews>
    <sheetView topLeftCell="A49" workbookViewId="0">
      <selection activeCell="H59" sqref="H59"/>
    </sheetView>
  </sheetViews>
  <sheetFormatPr baseColWidth="10" defaultColWidth="15.42578125" defaultRowHeight="21" customHeight="1"/>
  <cols>
    <col min="1" max="1" width="15.42578125" style="2"/>
    <col min="2" max="2" width="37.7109375" style="4" customWidth="1"/>
    <col min="3" max="4" width="20.42578125" style="2" customWidth="1"/>
    <col min="5" max="5" width="19.85546875" style="2" customWidth="1"/>
    <col min="6" max="6" width="16" style="2" customWidth="1"/>
    <col min="7" max="16384" width="15.42578125" style="2"/>
  </cols>
  <sheetData>
    <row r="3" spans="1:7" ht="21" customHeight="1">
      <c r="A3" s="1" t="s">
        <v>74</v>
      </c>
      <c r="B3" s="1" t="s">
        <v>0</v>
      </c>
      <c r="C3" s="1" t="s">
        <v>2</v>
      </c>
      <c r="D3" s="1" t="s">
        <v>11</v>
      </c>
      <c r="E3" s="1" t="s">
        <v>4</v>
      </c>
      <c r="F3" s="1" t="s">
        <v>5</v>
      </c>
      <c r="G3" s="1" t="s">
        <v>7</v>
      </c>
    </row>
    <row r="4" spans="1:7" ht="21" customHeight="1">
      <c r="A4" s="2" t="s">
        <v>31</v>
      </c>
      <c r="B4" s="4" t="s">
        <v>1</v>
      </c>
      <c r="C4" s="2" t="s">
        <v>3</v>
      </c>
      <c r="D4" s="2">
        <v>210</v>
      </c>
      <c r="E4" s="2">
        <v>230</v>
      </c>
      <c r="F4" s="2" t="s">
        <v>6</v>
      </c>
      <c r="G4" s="2">
        <v>5</v>
      </c>
    </row>
    <row r="5" spans="1:7" ht="21" customHeight="1">
      <c r="A5" s="2" t="s">
        <v>31</v>
      </c>
      <c r="B5" s="4" t="s">
        <v>8</v>
      </c>
      <c r="C5" s="2" t="s">
        <v>9</v>
      </c>
      <c r="D5" s="2">
        <v>420</v>
      </c>
      <c r="E5" s="2">
        <v>460</v>
      </c>
      <c r="F5" s="2" t="s">
        <v>10</v>
      </c>
      <c r="G5" s="2">
        <v>10</v>
      </c>
    </row>
    <row r="6" spans="1:7" ht="21" customHeight="1">
      <c r="A6" s="2" t="s">
        <v>31</v>
      </c>
      <c r="B6" s="4" t="s">
        <v>12</v>
      </c>
      <c r="C6" s="2" t="s">
        <v>13</v>
      </c>
      <c r="D6" s="2">
        <v>840</v>
      </c>
      <c r="E6" s="2">
        <v>920</v>
      </c>
      <c r="F6" s="2" t="s">
        <v>14</v>
      </c>
      <c r="G6" s="2">
        <v>20</v>
      </c>
    </row>
    <row r="7" spans="1:7" ht="21" customHeight="1">
      <c r="A7" s="2" t="s">
        <v>31</v>
      </c>
      <c r="B7" s="4" t="s">
        <v>15</v>
      </c>
      <c r="C7" s="2" t="s">
        <v>16</v>
      </c>
      <c r="D7" s="2">
        <v>2100</v>
      </c>
      <c r="E7" s="2">
        <v>2300</v>
      </c>
      <c r="F7" s="2" t="s">
        <v>17</v>
      </c>
      <c r="G7" s="2">
        <v>50</v>
      </c>
    </row>
    <row r="8" spans="1:7" ht="21" customHeight="1">
      <c r="A8" s="2" t="s">
        <v>31</v>
      </c>
      <c r="B8" s="4" t="s">
        <v>18</v>
      </c>
      <c r="C8" s="2" t="s">
        <v>19</v>
      </c>
      <c r="D8" s="2">
        <v>4200</v>
      </c>
      <c r="E8" s="2">
        <v>4600</v>
      </c>
      <c r="F8" s="2" t="s">
        <v>20</v>
      </c>
      <c r="G8" s="2">
        <v>100</v>
      </c>
    </row>
    <row r="9" spans="1:7" ht="21" customHeight="1">
      <c r="A9" s="2" t="s">
        <v>32</v>
      </c>
      <c r="B9" s="5" t="s">
        <v>21</v>
      </c>
      <c r="C9" s="2" t="s">
        <v>22</v>
      </c>
      <c r="D9" s="2">
        <v>474</v>
      </c>
      <c r="E9" s="2">
        <v>500</v>
      </c>
      <c r="F9" s="3">
        <v>10</v>
      </c>
      <c r="G9" s="2">
        <v>12</v>
      </c>
    </row>
    <row r="10" spans="1:7" ht="21" customHeight="1">
      <c r="A10" s="2" t="s">
        <v>32</v>
      </c>
      <c r="B10" s="4" t="s">
        <v>23</v>
      </c>
      <c r="C10" s="2" t="s">
        <v>24</v>
      </c>
      <c r="D10" s="2">
        <v>711</v>
      </c>
      <c r="E10" s="2">
        <v>790</v>
      </c>
      <c r="F10" s="3">
        <v>15</v>
      </c>
      <c r="G10" s="2">
        <v>17</v>
      </c>
    </row>
    <row r="11" spans="1:7" ht="21" customHeight="1">
      <c r="A11" s="2" t="s">
        <v>32</v>
      </c>
      <c r="B11" s="4" t="s">
        <v>25</v>
      </c>
      <c r="C11" s="2" t="s">
        <v>26</v>
      </c>
      <c r="D11" s="2">
        <v>2372</v>
      </c>
      <c r="E11" s="2">
        <v>2600</v>
      </c>
      <c r="F11" s="3">
        <v>50</v>
      </c>
      <c r="G11" s="2">
        <v>56.7</v>
      </c>
    </row>
    <row r="12" spans="1:7" ht="21" customHeight="1">
      <c r="A12" s="2" t="s">
        <v>32</v>
      </c>
      <c r="B12" s="4" t="s">
        <v>27</v>
      </c>
      <c r="C12" s="2" t="s">
        <v>28</v>
      </c>
      <c r="D12" s="2">
        <v>4746</v>
      </c>
      <c r="E12" s="2">
        <v>5200</v>
      </c>
      <c r="F12" s="3">
        <v>100</v>
      </c>
      <c r="G12" s="2">
        <v>115.2</v>
      </c>
    </row>
    <row r="13" spans="1:7" ht="21" customHeight="1">
      <c r="A13" s="2" t="s">
        <v>33</v>
      </c>
      <c r="B13" s="4" t="s">
        <v>29</v>
      </c>
      <c r="C13" s="2" t="s">
        <v>30</v>
      </c>
      <c r="D13" s="2">
        <v>711</v>
      </c>
      <c r="E13" s="2">
        <v>790</v>
      </c>
      <c r="F13" s="3">
        <v>15</v>
      </c>
      <c r="G13" s="2">
        <v>17</v>
      </c>
    </row>
    <row r="14" spans="1:7" ht="21" customHeight="1">
      <c r="A14" s="2" t="s">
        <v>33</v>
      </c>
      <c r="B14" s="4" t="s">
        <v>34</v>
      </c>
      <c r="C14" s="2" t="s">
        <v>35</v>
      </c>
      <c r="D14" s="2">
        <v>949</v>
      </c>
      <c r="E14" s="2">
        <v>1050</v>
      </c>
      <c r="F14" s="3">
        <v>20</v>
      </c>
      <c r="G14" s="2">
        <v>23.65</v>
      </c>
    </row>
    <row r="15" spans="1:7" ht="21" customHeight="1">
      <c r="A15" s="2" t="s">
        <v>33</v>
      </c>
      <c r="B15" s="4" t="s">
        <v>37</v>
      </c>
      <c r="C15" s="2" t="s">
        <v>36</v>
      </c>
      <c r="D15" s="2">
        <v>2372</v>
      </c>
      <c r="E15" s="2">
        <v>2590</v>
      </c>
      <c r="F15" s="3">
        <v>50</v>
      </c>
      <c r="G15" s="2">
        <v>57.63</v>
      </c>
    </row>
    <row r="16" spans="1:7" ht="21" customHeight="1">
      <c r="A16" s="2" t="s">
        <v>33</v>
      </c>
      <c r="B16" s="4" t="s">
        <v>38</v>
      </c>
      <c r="C16" s="2" t="s">
        <v>39</v>
      </c>
      <c r="D16" s="2">
        <v>4746</v>
      </c>
      <c r="E16" s="2">
        <v>5200</v>
      </c>
      <c r="F16" s="3">
        <v>100</v>
      </c>
      <c r="G16" s="2">
        <v>115.26</v>
      </c>
    </row>
    <row r="17" spans="1:7" ht="21" customHeight="1">
      <c r="A17" s="2" t="s">
        <v>33</v>
      </c>
      <c r="B17" s="4" t="s">
        <v>40</v>
      </c>
      <c r="C17" s="2" t="s">
        <v>41</v>
      </c>
      <c r="D17" s="2">
        <v>11868</v>
      </c>
      <c r="E17" s="2">
        <v>13000</v>
      </c>
      <c r="F17" s="3">
        <v>250</v>
      </c>
      <c r="G17" s="2">
        <v>285.14999999999998</v>
      </c>
    </row>
    <row r="18" spans="1:7" ht="21" customHeight="1">
      <c r="A18" s="2" t="s">
        <v>43</v>
      </c>
      <c r="B18" s="4" t="s">
        <v>42</v>
      </c>
      <c r="C18" s="2" t="s">
        <v>44</v>
      </c>
      <c r="D18" s="2">
        <v>572.46</v>
      </c>
      <c r="E18" s="2">
        <v>625</v>
      </c>
      <c r="F18" s="2" t="s">
        <v>45</v>
      </c>
      <c r="G18" s="2">
        <v>16.37</v>
      </c>
    </row>
    <row r="19" spans="1:7" ht="21" customHeight="1">
      <c r="A19" s="2" t="s">
        <v>43</v>
      </c>
      <c r="B19" s="4" t="s">
        <v>46</v>
      </c>
      <c r="C19" s="2" t="s">
        <v>47</v>
      </c>
      <c r="D19" s="2">
        <v>1145</v>
      </c>
      <c r="E19" s="2">
        <v>1250</v>
      </c>
      <c r="F19" s="2" t="s">
        <v>48</v>
      </c>
      <c r="G19" s="2">
        <v>30.51</v>
      </c>
    </row>
    <row r="20" spans="1:7" ht="21" customHeight="1">
      <c r="A20" s="2" t="s">
        <v>43</v>
      </c>
      <c r="B20" s="4" t="s">
        <v>49</v>
      </c>
      <c r="C20" s="2" t="s">
        <v>50</v>
      </c>
      <c r="D20" s="2">
        <v>2290</v>
      </c>
      <c r="E20" s="2">
        <v>2500</v>
      </c>
      <c r="F20" s="2" t="s">
        <v>51</v>
      </c>
      <c r="G20" s="2">
        <v>59.45</v>
      </c>
    </row>
    <row r="21" spans="1:7" ht="21" customHeight="1">
      <c r="A21" s="2" t="s">
        <v>43</v>
      </c>
      <c r="B21" s="4" t="s">
        <v>52</v>
      </c>
      <c r="C21" s="2" t="s">
        <v>53</v>
      </c>
      <c r="D21" s="2">
        <v>5724</v>
      </c>
      <c r="E21" s="2">
        <v>6300</v>
      </c>
      <c r="F21" s="2" t="s">
        <v>54</v>
      </c>
      <c r="G21" s="2">
        <v>152.61000000000001</v>
      </c>
    </row>
    <row r="22" spans="1:7" ht="21" customHeight="1">
      <c r="A22" s="2" t="s">
        <v>43</v>
      </c>
      <c r="B22" s="4" t="s">
        <v>55</v>
      </c>
      <c r="C22" s="2" t="s">
        <v>56</v>
      </c>
      <c r="D22" s="2">
        <v>11448</v>
      </c>
      <c r="E22" s="2">
        <v>12599</v>
      </c>
      <c r="F22" s="2" t="s">
        <v>57</v>
      </c>
      <c r="G22" s="2">
        <v>299</v>
      </c>
    </row>
    <row r="23" spans="1:7" ht="21" customHeight="1">
      <c r="A23" s="2" t="s">
        <v>61</v>
      </c>
      <c r="B23" s="4" t="s">
        <v>58</v>
      </c>
      <c r="C23" s="2" t="s">
        <v>59</v>
      </c>
      <c r="D23" s="2">
        <v>583</v>
      </c>
      <c r="E23" s="2">
        <v>625</v>
      </c>
      <c r="F23" s="2" t="s">
        <v>60</v>
      </c>
      <c r="G23" s="2">
        <v>16.239999999999998</v>
      </c>
    </row>
    <row r="24" spans="1:7" ht="21" customHeight="1">
      <c r="A24" s="2" t="s">
        <v>61</v>
      </c>
      <c r="B24" s="4" t="s">
        <v>62</v>
      </c>
      <c r="C24" s="2" t="s">
        <v>63</v>
      </c>
      <c r="D24" s="2">
        <v>1167</v>
      </c>
      <c r="E24" s="2">
        <v>1299</v>
      </c>
      <c r="F24" s="2" t="s">
        <v>64</v>
      </c>
      <c r="G24" s="2">
        <v>31.37</v>
      </c>
    </row>
    <row r="25" spans="1:7" ht="21" customHeight="1">
      <c r="A25" s="2" t="s">
        <v>61</v>
      </c>
      <c r="B25" s="4" t="s">
        <v>65</v>
      </c>
      <c r="C25" s="2" t="s">
        <v>66</v>
      </c>
      <c r="D25" s="2">
        <v>2333</v>
      </c>
      <c r="E25" s="2">
        <v>2555</v>
      </c>
      <c r="F25" s="2" t="s">
        <v>67</v>
      </c>
      <c r="G25" s="2">
        <v>60.58</v>
      </c>
    </row>
    <row r="26" spans="1:7" ht="21" customHeight="1">
      <c r="A26" s="2" t="s">
        <v>61</v>
      </c>
      <c r="B26" s="4" t="s">
        <v>68</v>
      </c>
      <c r="C26" s="2" t="s">
        <v>69</v>
      </c>
      <c r="D26" s="2">
        <v>5832</v>
      </c>
      <c r="E26" s="2">
        <v>6399</v>
      </c>
      <c r="F26" s="2" t="s">
        <v>70</v>
      </c>
      <c r="G26" s="2">
        <v>160.61000000000001</v>
      </c>
    </row>
    <row r="27" spans="1:7" ht="21" customHeight="1">
      <c r="A27" s="2" t="s">
        <v>61</v>
      </c>
      <c r="B27" s="4" t="s">
        <v>71</v>
      </c>
      <c r="C27" s="2" t="s">
        <v>72</v>
      </c>
      <c r="D27" s="2">
        <v>11665</v>
      </c>
      <c r="E27" s="2">
        <v>12776</v>
      </c>
      <c r="F27" s="2" t="s">
        <v>73</v>
      </c>
      <c r="G27" s="2">
        <v>321.23</v>
      </c>
    </row>
    <row r="30" spans="1:7" ht="21" customHeight="1">
      <c r="A30" s="1" t="s">
        <v>74</v>
      </c>
      <c r="B30" s="1" t="s">
        <v>0</v>
      </c>
      <c r="C30" s="1" t="s">
        <v>2</v>
      </c>
      <c r="D30" s="1" t="s">
        <v>11</v>
      </c>
      <c r="E30" s="1" t="s">
        <v>4</v>
      </c>
      <c r="F30" s="1" t="s">
        <v>5</v>
      </c>
      <c r="G30" s="1" t="s">
        <v>7</v>
      </c>
    </row>
    <row r="31" spans="1:7" ht="21" customHeight="1">
      <c r="A31" s="2" t="s">
        <v>78</v>
      </c>
      <c r="B31" s="4" t="s">
        <v>75</v>
      </c>
      <c r="C31" s="2" t="s">
        <v>76</v>
      </c>
      <c r="D31" s="2">
        <v>374</v>
      </c>
      <c r="E31" s="2">
        <v>450</v>
      </c>
      <c r="F31" s="2" t="s">
        <v>10</v>
      </c>
      <c r="G31" s="2">
        <v>10</v>
      </c>
    </row>
    <row r="32" spans="1:7" ht="21" customHeight="1">
      <c r="A32" s="2" t="s">
        <v>78</v>
      </c>
      <c r="B32" s="4" t="s">
        <v>79</v>
      </c>
      <c r="C32" s="2" t="s">
        <v>77</v>
      </c>
      <c r="D32" s="2">
        <v>935</v>
      </c>
      <c r="E32" s="2">
        <v>1100</v>
      </c>
      <c r="F32" s="2" t="s">
        <v>80</v>
      </c>
      <c r="G32" s="2">
        <v>24.17</v>
      </c>
    </row>
    <row r="33" spans="1:7" ht="21" customHeight="1">
      <c r="A33" s="2" t="s">
        <v>78</v>
      </c>
      <c r="B33" s="4" t="s">
        <v>81</v>
      </c>
      <c r="C33" s="2" t="s">
        <v>82</v>
      </c>
      <c r="D33" s="2">
        <v>1869</v>
      </c>
      <c r="E33" s="2">
        <v>2200</v>
      </c>
      <c r="F33" s="2" t="s">
        <v>17</v>
      </c>
      <c r="G33" s="2">
        <v>47.35</v>
      </c>
    </row>
    <row r="34" spans="1:7" ht="21" customHeight="1">
      <c r="A34" s="2" t="s">
        <v>78</v>
      </c>
      <c r="B34" s="4" t="s">
        <v>83</v>
      </c>
      <c r="C34" s="2" t="s">
        <v>84</v>
      </c>
      <c r="D34" s="2">
        <v>3738</v>
      </c>
      <c r="E34" s="2">
        <v>4400</v>
      </c>
      <c r="F34" s="2" t="s">
        <v>20</v>
      </c>
      <c r="G34" s="2">
        <v>93.7</v>
      </c>
    </row>
    <row r="35" spans="1:7" ht="21" customHeight="1">
      <c r="A35" s="2" t="s">
        <v>85</v>
      </c>
      <c r="B35" s="4" t="s">
        <v>86</v>
      </c>
      <c r="C35" s="2" t="s">
        <v>87</v>
      </c>
      <c r="D35" s="2">
        <v>504</v>
      </c>
      <c r="E35" s="2">
        <v>550</v>
      </c>
      <c r="F35" s="2" t="s">
        <v>88</v>
      </c>
      <c r="G35" s="2">
        <v>13.13</v>
      </c>
    </row>
    <row r="36" spans="1:7" ht="21" customHeight="1">
      <c r="A36" s="2" t="s">
        <v>85</v>
      </c>
      <c r="B36" s="4" t="s">
        <v>89</v>
      </c>
      <c r="C36" s="2" t="s">
        <v>90</v>
      </c>
      <c r="D36" s="2">
        <v>1013</v>
      </c>
      <c r="E36" s="2">
        <v>1100</v>
      </c>
      <c r="F36" s="2" t="s">
        <v>91</v>
      </c>
      <c r="G36" s="2">
        <v>25.27</v>
      </c>
    </row>
    <row r="37" spans="1:7" ht="21" customHeight="1">
      <c r="A37" s="2" t="s">
        <v>85</v>
      </c>
      <c r="B37" s="4" t="s">
        <v>92</v>
      </c>
      <c r="C37" s="2" t="s">
        <v>94</v>
      </c>
      <c r="D37" s="2">
        <v>2028</v>
      </c>
      <c r="E37" s="2">
        <v>2220</v>
      </c>
      <c r="F37" s="2" t="s">
        <v>93</v>
      </c>
      <c r="G37" s="2">
        <v>49.14</v>
      </c>
    </row>
    <row r="38" spans="1:7" ht="21" customHeight="1">
      <c r="A38" s="2" t="s">
        <v>85</v>
      </c>
      <c r="B38" s="4" t="s">
        <v>95</v>
      </c>
      <c r="C38" s="2" t="s">
        <v>96</v>
      </c>
      <c r="D38" s="2">
        <v>2535</v>
      </c>
      <c r="E38" s="2">
        <v>2800</v>
      </c>
      <c r="F38" s="2" t="s">
        <v>97</v>
      </c>
      <c r="G38" s="2">
        <v>61.18</v>
      </c>
    </row>
    <row r="39" spans="1:7" ht="21" customHeight="1">
      <c r="A39" s="2" t="s">
        <v>85</v>
      </c>
      <c r="B39" s="4" t="s">
        <v>98</v>
      </c>
      <c r="C39" s="2" t="s">
        <v>99</v>
      </c>
      <c r="D39" s="2">
        <v>5068</v>
      </c>
      <c r="E39" s="2">
        <v>5560</v>
      </c>
      <c r="F39" s="2" t="s">
        <v>100</v>
      </c>
      <c r="G39" s="2">
        <v>121.36</v>
      </c>
    </row>
    <row r="40" spans="1:7" ht="21" customHeight="1">
      <c r="A40" s="2" t="s">
        <v>43</v>
      </c>
      <c r="B40" s="4" t="s">
        <v>101</v>
      </c>
      <c r="C40" s="2" t="s">
        <v>102</v>
      </c>
      <c r="D40" s="2">
        <v>781</v>
      </c>
      <c r="E40" s="2">
        <v>900</v>
      </c>
      <c r="F40" s="2" t="s">
        <v>14</v>
      </c>
      <c r="G40" s="2">
        <v>21.39</v>
      </c>
    </row>
    <row r="41" spans="1:7" ht="21" customHeight="1">
      <c r="A41" s="2" t="s">
        <v>43</v>
      </c>
      <c r="B41" s="4" t="s">
        <v>103</v>
      </c>
      <c r="C41" s="2" t="s">
        <v>104</v>
      </c>
      <c r="D41" s="2">
        <v>1953</v>
      </c>
      <c r="E41" s="2">
        <v>2150</v>
      </c>
      <c r="F41" s="2" t="s">
        <v>17</v>
      </c>
      <c r="G41" s="2">
        <v>51.8</v>
      </c>
    </row>
    <row r="42" spans="1:7" ht="21" customHeight="1">
      <c r="A42" s="2" t="s">
        <v>43</v>
      </c>
      <c r="B42" s="4" t="s">
        <v>105</v>
      </c>
      <c r="C42" s="2" t="s">
        <v>106</v>
      </c>
      <c r="D42" s="2">
        <v>3906</v>
      </c>
      <c r="E42" s="2">
        <v>4300</v>
      </c>
      <c r="F42" s="2" t="s">
        <v>20</v>
      </c>
      <c r="G42" s="2">
        <v>103.6</v>
      </c>
    </row>
    <row r="43" spans="1:7" ht="21" customHeight="1">
      <c r="A43" s="2" t="s">
        <v>32</v>
      </c>
      <c r="B43" s="4" t="s">
        <v>107</v>
      </c>
      <c r="C43" s="2" t="s">
        <v>108</v>
      </c>
      <c r="D43" s="2">
        <v>437</v>
      </c>
      <c r="E43" s="2">
        <v>490</v>
      </c>
      <c r="F43" s="3">
        <v>10</v>
      </c>
      <c r="G43" s="2">
        <v>10.16</v>
      </c>
    </row>
    <row r="44" spans="1:7" ht="21" customHeight="1">
      <c r="A44" s="2" t="s">
        <v>32</v>
      </c>
      <c r="B44" s="4" t="s">
        <v>109</v>
      </c>
      <c r="C44" s="2" t="s">
        <v>110</v>
      </c>
      <c r="D44" s="2">
        <v>871</v>
      </c>
      <c r="E44" s="2">
        <v>960</v>
      </c>
      <c r="F44" s="3">
        <v>20</v>
      </c>
      <c r="G44" s="2">
        <v>20.190000000000001</v>
      </c>
    </row>
    <row r="45" spans="1:7" ht="21" customHeight="1">
      <c r="A45" s="2" t="s">
        <v>32</v>
      </c>
      <c r="B45" s="4" t="s">
        <v>111</v>
      </c>
      <c r="C45" s="2" t="s">
        <v>112</v>
      </c>
      <c r="D45" s="2">
        <v>2085</v>
      </c>
      <c r="E45" s="2">
        <v>2300</v>
      </c>
      <c r="F45" s="3">
        <v>50</v>
      </c>
      <c r="G45" s="2">
        <v>51.07</v>
      </c>
    </row>
    <row r="46" spans="1:7" ht="21" customHeight="1">
      <c r="A46" s="2" t="s">
        <v>32</v>
      </c>
      <c r="B46" s="4" t="s">
        <v>113</v>
      </c>
      <c r="C46" s="2" t="s">
        <v>114</v>
      </c>
      <c r="D46" s="2">
        <v>2474</v>
      </c>
      <c r="E46" s="2">
        <v>2750</v>
      </c>
      <c r="F46" s="3">
        <v>60</v>
      </c>
      <c r="G46" s="2">
        <v>65.37</v>
      </c>
    </row>
    <row r="47" spans="1:7" ht="21" customHeight="1">
      <c r="A47" s="2" t="s">
        <v>32</v>
      </c>
      <c r="B47" s="4" t="s">
        <v>115</v>
      </c>
      <c r="C47" s="2" t="s">
        <v>116</v>
      </c>
      <c r="D47" s="2">
        <v>4125</v>
      </c>
      <c r="E47" s="2">
        <v>4600</v>
      </c>
      <c r="F47" s="3">
        <v>100</v>
      </c>
      <c r="G47" s="2">
        <v>99.33</v>
      </c>
    </row>
    <row r="50" spans="1:7" ht="21" customHeight="1">
      <c r="A50" s="1" t="s">
        <v>74</v>
      </c>
      <c r="B50" s="1" t="s">
        <v>0</v>
      </c>
      <c r="C50" s="1" t="s">
        <v>2</v>
      </c>
      <c r="D50" s="1" t="s">
        <v>11</v>
      </c>
      <c r="E50" s="1" t="s">
        <v>4</v>
      </c>
      <c r="F50" s="1" t="s">
        <v>5</v>
      </c>
      <c r="G50" s="1" t="s">
        <v>7</v>
      </c>
    </row>
    <row r="51" spans="1:7" ht="21" customHeight="1">
      <c r="A51" s="2" t="s">
        <v>78</v>
      </c>
      <c r="B51" s="4" t="s">
        <v>117</v>
      </c>
      <c r="C51" s="2" t="s">
        <v>118</v>
      </c>
      <c r="D51" s="2">
        <v>374</v>
      </c>
      <c r="E51" s="2">
        <v>450</v>
      </c>
      <c r="F51" s="2" t="s">
        <v>10</v>
      </c>
      <c r="G51" s="2">
        <v>10</v>
      </c>
    </row>
    <row r="52" spans="1:7" ht="21" customHeight="1">
      <c r="A52" s="2" t="s">
        <v>78</v>
      </c>
      <c r="B52" s="4" t="s">
        <v>119</v>
      </c>
      <c r="C52" s="2" t="s">
        <v>120</v>
      </c>
      <c r="D52" s="2">
        <v>748</v>
      </c>
      <c r="E52" s="2">
        <v>850</v>
      </c>
      <c r="F52" s="2" t="s">
        <v>14</v>
      </c>
      <c r="G52" s="2">
        <v>20.43</v>
      </c>
    </row>
    <row r="53" spans="1:7" ht="21" customHeight="1">
      <c r="A53" s="2" t="s">
        <v>78</v>
      </c>
      <c r="B53" s="4" t="s">
        <v>121</v>
      </c>
      <c r="C53" s="2" t="s">
        <v>122</v>
      </c>
      <c r="D53" s="2">
        <v>1869</v>
      </c>
      <c r="E53" s="2">
        <v>2100</v>
      </c>
      <c r="F53" s="2" t="s">
        <v>17</v>
      </c>
      <c r="G53" s="2">
        <v>50.09</v>
      </c>
    </row>
    <row r="54" spans="1:7" ht="21" customHeight="1">
      <c r="A54" s="2" t="s">
        <v>78</v>
      </c>
      <c r="B54" s="4" t="s">
        <v>123</v>
      </c>
      <c r="C54" s="2" t="s">
        <v>124</v>
      </c>
      <c r="D54" s="2">
        <v>3738</v>
      </c>
      <c r="E54" s="2">
        <v>4200</v>
      </c>
      <c r="F54" s="2" t="s">
        <v>20</v>
      </c>
      <c r="G54" s="2">
        <v>100</v>
      </c>
    </row>
    <row r="57" spans="1:7" ht="21" customHeight="1">
      <c r="A57" s="1" t="s">
        <v>74</v>
      </c>
      <c r="B57" s="1" t="s">
        <v>0</v>
      </c>
      <c r="C57" s="1" t="s">
        <v>2</v>
      </c>
      <c r="D57" s="1" t="s">
        <v>11</v>
      </c>
      <c r="E57" s="1" t="s">
        <v>4</v>
      </c>
      <c r="F57" s="1" t="s">
        <v>5</v>
      </c>
      <c r="G57" s="1" t="s">
        <v>7</v>
      </c>
    </row>
    <row r="58" spans="1:7" ht="21" customHeight="1">
      <c r="A58" s="2" t="s">
        <v>78</v>
      </c>
      <c r="B58" s="4" t="s">
        <v>422</v>
      </c>
      <c r="C58" s="2" t="s">
        <v>125</v>
      </c>
      <c r="D58" s="2">
        <v>930</v>
      </c>
      <c r="E58" s="2">
        <v>1050</v>
      </c>
      <c r="F58" s="2" t="s">
        <v>14</v>
      </c>
      <c r="G58" s="2">
        <v>22.57</v>
      </c>
    </row>
    <row r="59" spans="1:7" ht="21" customHeight="1">
      <c r="A59" s="2" t="s">
        <v>78</v>
      </c>
      <c r="B59" s="4" t="s">
        <v>126</v>
      </c>
      <c r="C59" s="2" t="s">
        <v>127</v>
      </c>
      <c r="D59" s="2">
        <v>2743</v>
      </c>
      <c r="E59" s="2">
        <v>3000</v>
      </c>
      <c r="F59" s="2" t="s">
        <v>128</v>
      </c>
      <c r="G59" s="2">
        <v>65.599999999999994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71"/>
  <sheetViews>
    <sheetView workbookViewId="0">
      <pane ySplit="1" topLeftCell="A2" activePane="bottomLeft" state="frozen"/>
      <selection activeCell="C1" sqref="C1"/>
      <selection pane="bottomLeft" activeCell="B18" sqref="B18"/>
    </sheetView>
  </sheetViews>
  <sheetFormatPr baseColWidth="10" defaultColWidth="15.42578125" defaultRowHeight="21" customHeight="1"/>
  <cols>
    <col min="1" max="1" width="15.42578125" style="2"/>
    <col min="2" max="2" width="37.7109375" style="4" customWidth="1"/>
    <col min="3" max="4" width="20.42578125" style="2" customWidth="1"/>
    <col min="5" max="5" width="19.85546875" style="2" customWidth="1"/>
    <col min="6" max="6" width="16" style="2" customWidth="1"/>
    <col min="7" max="7" width="25" style="2" customWidth="1"/>
    <col min="8" max="10" width="25.28515625" style="2" customWidth="1"/>
    <col min="11" max="16384" width="15.42578125" style="2"/>
  </cols>
  <sheetData>
    <row r="1" spans="1:12" ht="21" customHeight="1">
      <c r="A1" s="1" t="s">
        <v>74</v>
      </c>
      <c r="B1" s="1" t="s">
        <v>0</v>
      </c>
      <c r="C1" s="1" t="s">
        <v>2</v>
      </c>
      <c r="D1" s="1" t="s">
        <v>11</v>
      </c>
      <c r="E1" s="1" t="s">
        <v>4</v>
      </c>
      <c r="F1" s="1" t="s">
        <v>5</v>
      </c>
      <c r="G1" s="1" t="s">
        <v>129</v>
      </c>
      <c r="H1" s="1" t="s">
        <v>195</v>
      </c>
      <c r="I1" s="1" t="s">
        <v>347</v>
      </c>
      <c r="J1" s="1" t="s">
        <v>130</v>
      </c>
      <c r="K1" s="2" t="s">
        <v>153</v>
      </c>
      <c r="L1" s="2" t="s">
        <v>167</v>
      </c>
    </row>
    <row r="2" spans="1:12" ht="21" customHeight="1">
      <c r="A2" s="1"/>
      <c r="D2" s="1"/>
      <c r="E2" s="1"/>
      <c r="F2" s="1"/>
      <c r="G2" s="1"/>
      <c r="H2" s="1"/>
      <c r="I2" s="1"/>
      <c r="J2" s="1"/>
    </row>
    <row r="3" spans="1:12" ht="21" customHeight="1">
      <c r="B3" s="4" t="s">
        <v>154</v>
      </c>
      <c r="C3" s="2" t="s">
        <v>188</v>
      </c>
      <c r="D3" s="2" t="s">
        <v>204</v>
      </c>
      <c r="E3" s="2">
        <v>210</v>
      </c>
      <c r="F3" s="2" t="s">
        <v>162</v>
      </c>
      <c r="G3" s="2" t="s">
        <v>155</v>
      </c>
      <c r="H3" s="2" t="s">
        <v>199</v>
      </c>
      <c r="J3" s="2">
        <v>4.4000000000000004</v>
      </c>
      <c r="K3" s="2" t="s">
        <v>201</v>
      </c>
      <c r="L3" s="2">
        <v>220</v>
      </c>
    </row>
    <row r="4" spans="1:12" ht="21" customHeight="1">
      <c r="B4" s="4" t="s">
        <v>156</v>
      </c>
      <c r="C4" s="2" t="s">
        <v>189</v>
      </c>
      <c r="D4" s="2" t="s">
        <v>203</v>
      </c>
      <c r="E4" s="2">
        <v>410</v>
      </c>
      <c r="F4" s="2" t="s">
        <v>163</v>
      </c>
      <c r="G4" s="2" t="s">
        <v>157</v>
      </c>
      <c r="H4" s="2">
        <v>9</v>
      </c>
      <c r="J4" s="2">
        <v>8.8000000000000007</v>
      </c>
      <c r="K4" s="2" t="s">
        <v>202</v>
      </c>
      <c r="L4" s="2">
        <v>420</v>
      </c>
    </row>
    <row r="5" spans="1:12" ht="21" customHeight="1">
      <c r="B5" s="4" t="s">
        <v>158</v>
      </c>
      <c r="C5" s="2" t="s">
        <v>190</v>
      </c>
      <c r="D5" s="2" t="s">
        <v>206</v>
      </c>
      <c r="E5" s="2">
        <v>1040</v>
      </c>
      <c r="F5" s="2" t="s">
        <v>164</v>
      </c>
      <c r="G5" s="2" t="s">
        <v>159</v>
      </c>
      <c r="H5" s="2" t="s">
        <v>200</v>
      </c>
      <c r="J5" s="2">
        <v>22</v>
      </c>
      <c r="K5" s="2" t="s">
        <v>205</v>
      </c>
      <c r="L5" s="2">
        <v>1050</v>
      </c>
    </row>
    <row r="6" spans="1:12" ht="21" customHeight="1">
      <c r="B6" s="4" t="s">
        <v>160</v>
      </c>
      <c r="C6" s="2" t="s">
        <v>191</v>
      </c>
      <c r="D6" s="2" t="s">
        <v>208</v>
      </c>
      <c r="E6" s="2">
        <v>2040</v>
      </c>
      <c r="F6" s="2" t="s">
        <v>165</v>
      </c>
      <c r="G6" s="2">
        <v>43</v>
      </c>
      <c r="H6" s="2">
        <v>45</v>
      </c>
      <c r="J6" s="2">
        <v>44</v>
      </c>
      <c r="K6" s="2" t="s">
        <v>207</v>
      </c>
      <c r="L6" s="2">
        <v>2050</v>
      </c>
    </row>
    <row r="7" spans="1:12" ht="21" customHeight="1">
      <c r="B7" s="4" t="s">
        <v>161</v>
      </c>
      <c r="C7" s="2" t="s">
        <v>192</v>
      </c>
      <c r="D7" s="2" t="s">
        <v>210</v>
      </c>
      <c r="E7" s="2">
        <v>4290</v>
      </c>
      <c r="F7" s="2" t="s">
        <v>166</v>
      </c>
      <c r="G7" s="2">
        <v>86</v>
      </c>
      <c r="H7" s="2">
        <v>89</v>
      </c>
      <c r="J7" s="2">
        <v>88</v>
      </c>
      <c r="K7" s="2" t="s">
        <v>209</v>
      </c>
    </row>
    <row r="8" spans="1:12" ht="21" customHeight="1">
      <c r="B8" s="4" t="s">
        <v>169</v>
      </c>
      <c r="C8" s="2" t="s">
        <v>193</v>
      </c>
      <c r="D8" s="2" t="s">
        <v>212</v>
      </c>
      <c r="E8" s="2">
        <v>8570</v>
      </c>
      <c r="F8" s="2" t="s">
        <v>170</v>
      </c>
      <c r="H8" s="2">
        <v>178</v>
      </c>
      <c r="J8" s="2">
        <v>176</v>
      </c>
      <c r="K8" s="2" t="s">
        <v>211</v>
      </c>
    </row>
    <row r="9" spans="1:12" ht="21" customHeight="1">
      <c r="B9" s="4" t="s">
        <v>171</v>
      </c>
      <c r="C9" s="2" t="s">
        <v>194</v>
      </c>
      <c r="D9" s="2" t="s">
        <v>214</v>
      </c>
      <c r="E9" s="2">
        <v>12970</v>
      </c>
      <c r="F9" s="2" t="s">
        <v>172</v>
      </c>
      <c r="H9" s="2">
        <v>270</v>
      </c>
      <c r="J9" s="2">
        <v>264</v>
      </c>
      <c r="K9" s="2" t="s">
        <v>213</v>
      </c>
    </row>
    <row r="15" spans="1:12" ht="21" customHeight="1">
      <c r="F15" s="3"/>
    </row>
    <row r="16" spans="1:12" ht="21" customHeight="1">
      <c r="F16" s="3"/>
    </row>
    <row r="17" spans="2:6" ht="21" customHeight="1">
      <c r="F17" s="3"/>
    </row>
    <row r="18" spans="2:6" ht="21" customHeight="1">
      <c r="F18" s="3"/>
    </row>
    <row r="19" spans="2:6" ht="21" customHeight="1">
      <c r="F19" s="3"/>
    </row>
    <row r="23" spans="2:6" ht="21" customHeight="1">
      <c r="B23" s="5"/>
      <c r="F23" s="3"/>
    </row>
    <row r="24" spans="2:6" ht="21" customHeight="1">
      <c r="F24" s="3"/>
    </row>
    <row r="25" spans="2:6" ht="21" customHeight="1">
      <c r="F25" s="3"/>
    </row>
    <row r="26" spans="2:6" ht="21" customHeight="1">
      <c r="F26" s="3"/>
    </row>
    <row r="27" spans="2:6" ht="21" customHeight="1">
      <c r="F27" s="3"/>
    </row>
    <row r="28" spans="2:6" ht="21" customHeight="1">
      <c r="F28" s="3"/>
    </row>
    <row r="29" spans="2:6" ht="21" customHeight="1">
      <c r="F29" s="3"/>
    </row>
    <row r="30" spans="2:6" ht="21" customHeight="1">
      <c r="F30" s="3"/>
    </row>
    <row r="31" spans="2:6" ht="21" customHeight="1">
      <c r="F31" s="3"/>
    </row>
    <row r="44" spans="1:7" ht="21" customHeight="1">
      <c r="A44" s="1"/>
      <c r="B44" s="1"/>
      <c r="C44" s="1"/>
      <c r="D44" s="1"/>
      <c r="E44" s="1"/>
      <c r="F44" s="1"/>
      <c r="G44" s="1"/>
    </row>
    <row r="57" spans="1:7" ht="21" customHeight="1">
      <c r="F57" s="3"/>
    </row>
    <row r="58" spans="1:7" ht="21" customHeight="1">
      <c r="F58" s="3"/>
    </row>
    <row r="59" spans="1:7" ht="21" customHeight="1">
      <c r="F59" s="3"/>
    </row>
    <row r="60" spans="1:7" ht="21" customHeight="1">
      <c r="F60" s="3"/>
    </row>
    <row r="61" spans="1:7" ht="21" customHeight="1">
      <c r="F61" s="3"/>
    </row>
    <row r="64" spans="1:7" ht="21" customHeight="1">
      <c r="A64" s="1"/>
      <c r="B64" s="1"/>
      <c r="C64" s="1"/>
      <c r="D64" s="1"/>
      <c r="E64" s="1"/>
      <c r="F64" s="1"/>
      <c r="G64" s="1"/>
    </row>
    <row r="71" spans="1:7" ht="21" customHeight="1">
      <c r="A71" s="1"/>
      <c r="B71" s="1"/>
      <c r="C71" s="1"/>
      <c r="D71" s="1"/>
      <c r="E71" s="1"/>
      <c r="F71" s="1"/>
      <c r="G71" s="1"/>
    </row>
  </sheetData>
  <phoneticPr fontId="5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0"/>
  <sheetViews>
    <sheetView topLeftCell="B1" workbookViewId="0">
      <pane ySplit="1" topLeftCell="A2" activePane="bottomLeft" state="frozen"/>
      <selection activeCell="C1" sqref="C1"/>
      <selection pane="bottomLeft" activeCell="E17" sqref="E17"/>
    </sheetView>
  </sheetViews>
  <sheetFormatPr baseColWidth="10" defaultColWidth="15.42578125" defaultRowHeight="21" customHeight="1"/>
  <cols>
    <col min="1" max="1" width="11.5703125" style="2" customWidth="1"/>
    <col min="2" max="2" width="28.42578125" style="4" customWidth="1"/>
    <col min="3" max="4" width="20.42578125" style="2" customWidth="1"/>
    <col min="5" max="5" width="19.85546875" style="2" customWidth="1"/>
    <col min="6" max="6" width="17.7109375" style="2" customWidth="1"/>
    <col min="7" max="7" width="22.7109375" style="2" customWidth="1"/>
    <col min="8" max="8" width="16.28515625" style="2" customWidth="1"/>
    <col min="9" max="9" width="15" style="2" customWidth="1"/>
    <col min="10" max="10" width="13.85546875" style="2" customWidth="1"/>
    <col min="11" max="11" width="16.28515625" style="2" customWidth="1"/>
    <col min="12" max="16384" width="15.42578125" style="2"/>
  </cols>
  <sheetData>
    <row r="1" spans="1:14" ht="21" customHeight="1">
      <c r="A1" s="1" t="s">
        <v>74</v>
      </c>
      <c r="B1" s="1" t="s">
        <v>0</v>
      </c>
      <c r="C1" s="1" t="s">
        <v>5</v>
      </c>
      <c r="D1" s="2" t="s">
        <v>291</v>
      </c>
      <c r="E1" s="1" t="s">
        <v>4</v>
      </c>
      <c r="F1" s="1" t="s">
        <v>348</v>
      </c>
      <c r="G1" s="2" t="s">
        <v>153</v>
      </c>
      <c r="H1" s="1" t="s">
        <v>417</v>
      </c>
      <c r="I1" s="1" t="s">
        <v>416</v>
      </c>
      <c r="J1" s="1" t="s">
        <v>415</v>
      </c>
      <c r="K1" s="1" t="s">
        <v>340</v>
      </c>
      <c r="L1" s="2" t="s">
        <v>292</v>
      </c>
    </row>
    <row r="2" spans="1:14" ht="21" customHeight="1">
      <c r="A2" s="2" t="s">
        <v>43</v>
      </c>
      <c r="B2" s="4" t="s">
        <v>187</v>
      </c>
      <c r="C2" s="2" t="s">
        <v>186</v>
      </c>
      <c r="E2" s="2">
        <v>280</v>
      </c>
      <c r="F2" s="2" t="s">
        <v>182</v>
      </c>
      <c r="G2" s="2">
        <v>6.23</v>
      </c>
      <c r="H2" s="2" t="s">
        <v>168</v>
      </c>
      <c r="K2" s="2">
        <v>5.33</v>
      </c>
    </row>
    <row r="3" spans="1:14" ht="21" customHeight="1">
      <c r="A3" s="2" t="s">
        <v>43</v>
      </c>
      <c r="B3" s="4" t="s">
        <v>174</v>
      </c>
      <c r="C3" s="2" t="s">
        <v>175</v>
      </c>
      <c r="E3" s="2">
        <v>790</v>
      </c>
      <c r="F3" s="2" t="s">
        <v>183</v>
      </c>
      <c r="G3" s="2">
        <v>15.74</v>
      </c>
      <c r="H3" s="2" t="s">
        <v>173</v>
      </c>
      <c r="K3" s="2">
        <v>14.84</v>
      </c>
      <c r="L3" s="2">
        <v>17.88</v>
      </c>
    </row>
    <row r="4" spans="1:14" ht="21" customHeight="1">
      <c r="A4" s="2" t="s">
        <v>43</v>
      </c>
      <c r="B4" s="4" t="s">
        <v>178</v>
      </c>
      <c r="C4" s="2" t="s">
        <v>176</v>
      </c>
      <c r="E4" s="2">
        <v>1280</v>
      </c>
      <c r="F4" s="2" t="s">
        <v>184</v>
      </c>
      <c r="G4" s="2">
        <v>27.56</v>
      </c>
      <c r="H4" s="2" t="s">
        <v>181</v>
      </c>
      <c r="K4" s="2">
        <v>26.66</v>
      </c>
      <c r="L4" s="2">
        <v>31.13</v>
      </c>
    </row>
    <row r="5" spans="1:14" ht="21" customHeight="1">
      <c r="A5" s="2" t="s">
        <v>43</v>
      </c>
      <c r="B5" s="4" t="s">
        <v>179</v>
      </c>
      <c r="C5" s="2" t="s">
        <v>177</v>
      </c>
      <c r="E5" s="2">
        <v>2350</v>
      </c>
      <c r="F5" s="2" t="s">
        <v>185</v>
      </c>
      <c r="G5" s="2">
        <v>52</v>
      </c>
      <c r="H5" s="2" t="s">
        <v>180</v>
      </c>
      <c r="K5" s="2">
        <v>51</v>
      </c>
      <c r="L5" s="2">
        <v>59.14</v>
      </c>
    </row>
    <row r="7" spans="1:14" ht="21" customHeight="1">
      <c r="A7" s="1" t="s">
        <v>74</v>
      </c>
      <c r="B7" s="1" t="s">
        <v>0</v>
      </c>
      <c r="C7" s="1" t="s">
        <v>5</v>
      </c>
      <c r="D7" s="2" t="s">
        <v>291</v>
      </c>
      <c r="E7" s="1" t="s">
        <v>4</v>
      </c>
      <c r="F7" s="1" t="s">
        <v>348</v>
      </c>
      <c r="G7" s="2" t="s">
        <v>153</v>
      </c>
      <c r="H7" s="1" t="s">
        <v>417</v>
      </c>
      <c r="I7" s="1" t="s">
        <v>416</v>
      </c>
      <c r="J7" s="1" t="s">
        <v>415</v>
      </c>
      <c r="K7" s="1" t="s">
        <v>414</v>
      </c>
      <c r="L7" s="2" t="s">
        <v>292</v>
      </c>
      <c r="M7" s="1"/>
      <c r="N7"/>
    </row>
    <row r="8" spans="1:14" ht="21" customHeight="1">
      <c r="A8" s="2" t="s">
        <v>418</v>
      </c>
      <c r="B8" s="4" t="s">
        <v>187</v>
      </c>
      <c r="C8" s="2" t="s">
        <v>186</v>
      </c>
      <c r="D8" s="2">
        <f>E8-F8</f>
        <v>41.900000000000006</v>
      </c>
      <c r="E8" s="2">
        <v>170</v>
      </c>
      <c r="F8" s="2">
        <f>G8*42</f>
        <v>128.1</v>
      </c>
      <c r="G8" s="2">
        <v>3.05</v>
      </c>
      <c r="H8" s="2">
        <v>1.74</v>
      </c>
      <c r="K8" s="2">
        <v>2.65</v>
      </c>
      <c r="L8" s="2">
        <f>((G8/5)*0.71)+G8</f>
        <v>3.4830999999999999</v>
      </c>
    </row>
    <row r="9" spans="1:14" ht="21" customHeight="1">
      <c r="A9" s="2" t="s">
        <v>418</v>
      </c>
      <c r="B9" s="4" t="s">
        <v>174</v>
      </c>
      <c r="C9" s="2" t="s">
        <v>175</v>
      </c>
      <c r="D9" s="2">
        <f>E9-F9</f>
        <v>50.56</v>
      </c>
      <c r="E9" s="2">
        <v>400</v>
      </c>
      <c r="F9" s="2">
        <f>G9*42</f>
        <v>349.44</v>
      </c>
      <c r="G9" s="2">
        <v>8.32</v>
      </c>
      <c r="H9" s="2">
        <v>5.22</v>
      </c>
      <c r="K9" s="2">
        <v>7.92</v>
      </c>
      <c r="L9" s="2">
        <f>((G9/5)*0.71)+G9</f>
        <v>9.5014400000000006</v>
      </c>
    </row>
    <row r="14" spans="1:14" ht="21" customHeight="1">
      <c r="F14" s="3"/>
    </row>
    <row r="15" spans="1:14" ht="21" customHeight="1">
      <c r="F15" s="3"/>
    </row>
    <row r="16" spans="1:14" ht="21" customHeight="1">
      <c r="F16" s="3"/>
    </row>
    <row r="17" spans="2:6" ht="21" customHeight="1">
      <c r="F17" s="3"/>
    </row>
    <row r="18" spans="2:6" ht="21" customHeight="1">
      <c r="F18" s="3"/>
    </row>
    <row r="22" spans="2:6" ht="21" customHeight="1">
      <c r="B22" s="5"/>
      <c r="F22" s="3"/>
    </row>
    <row r="23" spans="2:6" ht="21" customHeight="1">
      <c r="F23" s="3"/>
    </row>
    <row r="24" spans="2:6" ht="21" customHeight="1">
      <c r="F24" s="3"/>
    </row>
    <row r="25" spans="2:6" ht="21" customHeight="1">
      <c r="F25" s="3"/>
    </row>
    <row r="26" spans="2:6" ht="21" customHeight="1">
      <c r="F26" s="3"/>
    </row>
    <row r="27" spans="2:6" ht="21" customHeight="1">
      <c r="F27" s="3"/>
    </row>
    <row r="28" spans="2:6" ht="21" customHeight="1">
      <c r="F28" s="3"/>
    </row>
    <row r="29" spans="2:6" ht="21" customHeight="1">
      <c r="F29" s="3"/>
    </row>
    <row r="30" spans="2:6" ht="21" customHeight="1">
      <c r="F30" s="3"/>
    </row>
    <row r="43" spans="1:7" ht="21" customHeight="1">
      <c r="A43" s="1"/>
      <c r="B43" s="1"/>
      <c r="C43" s="1"/>
      <c r="D43" s="1"/>
      <c r="E43" s="1"/>
      <c r="F43" s="1"/>
      <c r="G43" s="1"/>
    </row>
    <row r="56" spans="1:7" ht="21" customHeight="1">
      <c r="F56" s="3"/>
    </row>
    <row r="57" spans="1:7" ht="21" customHeight="1">
      <c r="F57" s="3"/>
    </row>
    <row r="58" spans="1:7" ht="21" customHeight="1">
      <c r="F58" s="3"/>
    </row>
    <row r="59" spans="1:7" ht="21" customHeight="1">
      <c r="F59" s="3"/>
    </row>
    <row r="60" spans="1:7" ht="21" customHeight="1">
      <c r="F60" s="3"/>
    </row>
    <row r="63" spans="1:7" ht="21" customHeight="1">
      <c r="A63" s="1"/>
      <c r="B63" s="1"/>
      <c r="C63" s="1"/>
      <c r="D63" s="1"/>
      <c r="E63" s="1"/>
      <c r="F63" s="1"/>
      <c r="G63" s="1"/>
    </row>
    <row r="70" spans="1:7" ht="21" customHeight="1">
      <c r="A70" s="1"/>
      <c r="B70" s="1"/>
      <c r="C70" s="1"/>
      <c r="D70" s="1"/>
      <c r="E70" s="1"/>
      <c r="F70" s="1"/>
      <c r="G70" s="1"/>
    </row>
  </sheetData>
  <phoneticPr fontId="5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K72"/>
  <sheetViews>
    <sheetView workbookViewId="0">
      <pane ySplit="1" topLeftCell="A2" activePane="bottomLeft" state="frozen"/>
      <selection activeCell="C1" sqref="C1"/>
      <selection pane="bottomLeft" activeCell="C19" sqref="C19"/>
    </sheetView>
  </sheetViews>
  <sheetFormatPr baseColWidth="10" defaultColWidth="15.42578125" defaultRowHeight="21" customHeight="1"/>
  <cols>
    <col min="1" max="1" width="15.42578125" style="2"/>
    <col min="2" max="2" width="37.7109375" style="4" customWidth="1"/>
    <col min="3" max="4" width="20.42578125" style="2" customWidth="1"/>
    <col min="5" max="5" width="19.85546875" style="2" customWidth="1"/>
    <col min="6" max="6" width="16" style="2" customWidth="1"/>
    <col min="7" max="7" width="25" style="2" customWidth="1"/>
    <col min="8" max="9" width="25" style="1" customWidth="1"/>
    <col min="10" max="10" width="25.28515625" style="2" customWidth="1"/>
    <col min="11" max="16384" width="15.42578125" style="2"/>
  </cols>
  <sheetData>
    <row r="1" spans="1:11" ht="21" customHeight="1">
      <c r="A1" s="1" t="s">
        <v>74</v>
      </c>
      <c r="B1" s="1" t="s">
        <v>0</v>
      </c>
      <c r="C1" s="1" t="s">
        <v>2</v>
      </c>
      <c r="D1" s="1" t="s">
        <v>11</v>
      </c>
      <c r="E1" s="1" t="s">
        <v>4</v>
      </c>
      <c r="F1" s="1" t="s">
        <v>5</v>
      </c>
      <c r="G1" s="1" t="s">
        <v>129</v>
      </c>
      <c r="H1" s="1" t="s">
        <v>215</v>
      </c>
      <c r="I1" s="1" t="s">
        <v>347</v>
      </c>
      <c r="J1" s="1" t="s">
        <v>130</v>
      </c>
      <c r="K1" s="2" t="s">
        <v>153</v>
      </c>
    </row>
    <row r="2" spans="1:11" ht="21" customHeight="1">
      <c r="A2" s="1" t="s">
        <v>78</v>
      </c>
      <c r="B2" s="4" t="s">
        <v>220</v>
      </c>
      <c r="C2" s="2" t="s">
        <v>118</v>
      </c>
      <c r="D2" s="1"/>
      <c r="E2" s="1"/>
      <c r="F2" s="1" t="s">
        <v>10</v>
      </c>
      <c r="G2" s="1">
        <v>9.2200000000000006</v>
      </c>
      <c r="H2" s="1">
        <v>9.1</v>
      </c>
      <c r="J2" s="1">
        <v>8.75</v>
      </c>
    </row>
    <row r="3" spans="1:11" ht="21" customHeight="1">
      <c r="A3" s="1" t="s">
        <v>78</v>
      </c>
      <c r="B3" s="4" t="s">
        <v>221</v>
      </c>
      <c r="C3" s="2" t="s">
        <v>120</v>
      </c>
      <c r="F3" s="1" t="s">
        <v>216</v>
      </c>
      <c r="G3" s="2">
        <v>13.83</v>
      </c>
      <c r="H3" s="2"/>
      <c r="I3" s="2"/>
      <c r="J3" s="2">
        <v>13.13</v>
      </c>
    </row>
    <row r="4" spans="1:11" ht="21" customHeight="1">
      <c r="A4" s="1" t="s">
        <v>78</v>
      </c>
      <c r="B4" s="4" t="s">
        <v>222</v>
      </c>
      <c r="C4" s="2" t="s">
        <v>122</v>
      </c>
      <c r="F4" s="1" t="s">
        <v>14</v>
      </c>
      <c r="G4" s="2">
        <v>18.440000000000001</v>
      </c>
      <c r="H4" s="1">
        <v>18.2</v>
      </c>
      <c r="J4" s="2">
        <v>17.7</v>
      </c>
    </row>
    <row r="5" spans="1:11" ht="21" customHeight="1">
      <c r="A5" s="1" t="s">
        <v>78</v>
      </c>
      <c r="B5" s="4" t="s">
        <v>223</v>
      </c>
      <c r="C5" s="2" t="s">
        <v>124</v>
      </c>
      <c r="F5" s="1" t="s">
        <v>80</v>
      </c>
      <c r="G5" s="2">
        <v>23.05</v>
      </c>
      <c r="H5" s="1">
        <v>22.5</v>
      </c>
      <c r="J5" s="2">
        <v>22.13</v>
      </c>
    </row>
    <row r="6" spans="1:11" ht="21" customHeight="1">
      <c r="A6" s="1" t="s">
        <v>78</v>
      </c>
      <c r="B6" s="4" t="s">
        <v>224</v>
      </c>
      <c r="C6" s="2" t="s">
        <v>217</v>
      </c>
      <c r="F6" s="1" t="s">
        <v>17</v>
      </c>
      <c r="G6" s="2">
        <v>46.09</v>
      </c>
      <c r="H6" s="1">
        <v>45.5</v>
      </c>
      <c r="J6" s="2">
        <v>44.25</v>
      </c>
    </row>
    <row r="7" spans="1:11" ht="21" customHeight="1">
      <c r="A7" s="1" t="s">
        <v>78</v>
      </c>
      <c r="B7" s="4" t="s">
        <v>225</v>
      </c>
      <c r="C7" s="2" t="s">
        <v>218</v>
      </c>
      <c r="F7" s="1" t="s">
        <v>20</v>
      </c>
      <c r="G7" s="2">
        <v>92.19</v>
      </c>
      <c r="H7" s="1">
        <v>91</v>
      </c>
      <c r="J7" s="2">
        <v>88.5</v>
      </c>
    </row>
    <row r="8" spans="1:11" ht="21" customHeight="1">
      <c r="A8" s="1"/>
      <c r="F8" s="1"/>
    </row>
    <row r="9" spans="1:11" ht="21" customHeight="1">
      <c r="A9" s="2" t="s">
        <v>219</v>
      </c>
      <c r="B9" s="4" t="s">
        <v>226</v>
      </c>
      <c r="C9" s="2" t="s">
        <v>227</v>
      </c>
      <c r="F9" s="2" t="s">
        <v>216</v>
      </c>
      <c r="G9" s="2">
        <v>10.46</v>
      </c>
      <c r="H9" s="1">
        <v>11.11</v>
      </c>
      <c r="J9" s="2">
        <v>10.68</v>
      </c>
    </row>
    <row r="10" spans="1:11" ht="21" customHeight="1">
      <c r="A10" s="2" t="s">
        <v>219</v>
      </c>
      <c r="B10" s="4" t="s">
        <v>232</v>
      </c>
      <c r="C10" s="2" t="s">
        <v>228</v>
      </c>
      <c r="F10" s="2" t="s">
        <v>80</v>
      </c>
      <c r="G10" s="2">
        <v>17.440000000000001</v>
      </c>
      <c r="H10" s="1">
        <v>18.59</v>
      </c>
      <c r="J10" s="2">
        <v>17.8</v>
      </c>
    </row>
    <row r="11" spans="1:11" ht="21" customHeight="1">
      <c r="A11" s="2" t="s">
        <v>219</v>
      </c>
      <c r="B11" s="4" t="s">
        <v>233</v>
      </c>
      <c r="C11" s="2" t="s">
        <v>229</v>
      </c>
      <c r="F11" s="2" t="s">
        <v>17</v>
      </c>
      <c r="G11" s="2">
        <v>34.880000000000003</v>
      </c>
      <c r="H11" s="1">
        <v>37.17</v>
      </c>
      <c r="J11" s="2">
        <v>35.590000000000003</v>
      </c>
    </row>
    <row r="12" spans="1:11" ht="21" customHeight="1">
      <c r="A12" s="2" t="s">
        <v>219</v>
      </c>
      <c r="B12" s="4" t="s">
        <v>234</v>
      </c>
      <c r="C12" s="2" t="s">
        <v>230</v>
      </c>
      <c r="F12" s="2" t="s">
        <v>236</v>
      </c>
      <c r="G12" s="2">
        <v>52.32</v>
      </c>
      <c r="H12" s="1">
        <v>55.77</v>
      </c>
      <c r="J12" s="2">
        <v>53.39</v>
      </c>
    </row>
    <row r="13" spans="1:11" ht="21" customHeight="1">
      <c r="A13" s="2" t="s">
        <v>219</v>
      </c>
      <c r="B13" s="4" t="s">
        <v>235</v>
      </c>
      <c r="C13" s="2" t="s">
        <v>231</v>
      </c>
      <c r="F13" s="2" t="s">
        <v>20</v>
      </c>
      <c r="G13" s="2">
        <v>69.760000000000005</v>
      </c>
      <c r="H13" s="1">
        <v>74.34</v>
      </c>
      <c r="J13" s="2">
        <v>71.180000000000007</v>
      </c>
    </row>
    <row r="16" spans="1:11" ht="21" customHeight="1">
      <c r="F16" s="3"/>
    </row>
    <row r="17" spans="2:6" ht="21" customHeight="1">
      <c r="F17" s="3"/>
    </row>
    <row r="18" spans="2:6" ht="21" customHeight="1">
      <c r="F18" s="3"/>
    </row>
    <row r="19" spans="2:6" ht="21" customHeight="1">
      <c r="F19" s="3"/>
    </row>
    <row r="20" spans="2:6" ht="21" customHeight="1">
      <c r="F20" s="3"/>
    </row>
    <row r="24" spans="2:6" ht="21" customHeight="1">
      <c r="B24" s="5"/>
      <c r="F24" s="3"/>
    </row>
    <row r="25" spans="2:6" ht="21" customHeight="1">
      <c r="F25" s="3"/>
    </row>
    <row r="26" spans="2:6" ht="21" customHeight="1">
      <c r="F26" s="3"/>
    </row>
    <row r="27" spans="2:6" ht="21" customHeight="1">
      <c r="F27" s="3"/>
    </row>
    <row r="28" spans="2:6" ht="21" customHeight="1">
      <c r="F28" s="3"/>
    </row>
    <row r="29" spans="2:6" ht="21" customHeight="1">
      <c r="F29" s="3"/>
    </row>
    <row r="30" spans="2:6" ht="21" customHeight="1">
      <c r="F30" s="3"/>
    </row>
    <row r="31" spans="2:6" ht="21" customHeight="1">
      <c r="F31" s="3"/>
    </row>
    <row r="32" spans="2:6" ht="21" customHeight="1">
      <c r="F32" s="3"/>
    </row>
    <row r="45" spans="1:7" ht="21" customHeight="1">
      <c r="A45" s="1"/>
      <c r="B45" s="1"/>
      <c r="C45" s="1"/>
      <c r="D45" s="1"/>
      <c r="E45" s="1"/>
      <c r="F45" s="1"/>
      <c r="G45" s="1"/>
    </row>
    <row r="58" spans="6:6" ht="21" customHeight="1">
      <c r="F58" s="3"/>
    </row>
    <row r="59" spans="6:6" ht="21" customHeight="1">
      <c r="F59" s="3"/>
    </row>
    <row r="60" spans="6:6" ht="21" customHeight="1">
      <c r="F60" s="3"/>
    </row>
    <row r="61" spans="6:6" ht="21" customHeight="1">
      <c r="F61" s="3"/>
    </row>
    <row r="62" spans="6:6" ht="21" customHeight="1">
      <c r="F62" s="3"/>
    </row>
    <row r="65" spans="1:7" ht="21" customHeight="1">
      <c r="A65" s="1"/>
      <c r="B65" s="1"/>
      <c r="C65" s="1"/>
      <c r="D65" s="1"/>
      <c r="E65" s="1"/>
      <c r="F65" s="1"/>
      <c r="G65" s="1"/>
    </row>
    <row r="72" spans="1:7" ht="21" customHeight="1">
      <c r="A72" s="1"/>
      <c r="B72" s="1"/>
      <c r="C72" s="1"/>
      <c r="D72" s="1"/>
      <c r="E72" s="1"/>
      <c r="F72" s="1"/>
      <c r="G72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1"/>
  <sheetViews>
    <sheetView workbookViewId="0">
      <pane ySplit="1" topLeftCell="A2" activePane="bottomLeft" state="frozen"/>
      <selection activeCell="D1" sqref="D1"/>
      <selection pane="bottomLeft" activeCell="D23" sqref="D23"/>
    </sheetView>
  </sheetViews>
  <sheetFormatPr baseColWidth="10" defaultColWidth="15.42578125" defaultRowHeight="21" customHeight="1"/>
  <cols>
    <col min="1" max="1" width="15.42578125" style="2"/>
    <col min="2" max="2" width="37.7109375" style="4" customWidth="1"/>
    <col min="3" max="3" width="16" style="2" customWidth="1"/>
    <col min="4" max="4" width="20.42578125" style="2" customWidth="1"/>
    <col min="5" max="5" width="21.42578125" style="2" customWidth="1"/>
    <col min="6" max="6" width="17.85546875" customWidth="1"/>
    <col min="7" max="7" width="15.42578125" style="2"/>
    <col min="8" max="8" width="25" style="2" customWidth="1"/>
    <col min="9" max="9" width="25.28515625" style="2" customWidth="1"/>
    <col min="11" max="12" width="15.42578125" style="2"/>
    <col min="14" max="16384" width="15.42578125" style="2"/>
  </cols>
  <sheetData>
    <row r="1" spans="1:14" ht="21" customHeight="1" thickBot="1">
      <c r="A1" s="1" t="s">
        <v>74</v>
      </c>
      <c r="B1" s="1" t="s">
        <v>0</v>
      </c>
      <c r="C1" s="1" t="s">
        <v>5</v>
      </c>
      <c r="D1" s="1" t="s">
        <v>344</v>
      </c>
      <c r="E1" s="2" t="s">
        <v>339</v>
      </c>
      <c r="F1" s="1" t="s">
        <v>349</v>
      </c>
      <c r="G1" s="2" t="s">
        <v>152</v>
      </c>
      <c r="H1" s="1" t="s">
        <v>129</v>
      </c>
      <c r="I1" s="1" t="s">
        <v>195</v>
      </c>
      <c r="J1" s="1" t="s">
        <v>350</v>
      </c>
      <c r="K1" s="2" t="s">
        <v>292</v>
      </c>
      <c r="L1" s="2" t="s">
        <v>342</v>
      </c>
      <c r="N1" s="2" t="s">
        <v>344</v>
      </c>
    </row>
    <row r="2" spans="1:14" ht="21" customHeight="1" thickBot="1">
      <c r="A2" s="2" t="s">
        <v>243</v>
      </c>
      <c r="B2" s="4" t="s">
        <v>238</v>
      </c>
      <c r="C2" s="2" t="s">
        <v>132</v>
      </c>
      <c r="H2" s="11"/>
      <c r="I2" s="18"/>
    </row>
    <row r="3" spans="1:14" ht="21" customHeight="1" thickBot="1">
      <c r="A3" s="2" t="s">
        <v>243</v>
      </c>
      <c r="B3" s="4" t="s">
        <v>239</v>
      </c>
      <c r="C3" s="2" t="s">
        <v>133</v>
      </c>
      <c r="H3" s="11"/>
      <c r="I3" s="18"/>
    </row>
    <row r="4" spans="1:14" ht="21" customHeight="1" thickBot="1">
      <c r="A4" s="2" t="s">
        <v>243</v>
      </c>
      <c r="B4" s="4" t="s">
        <v>240</v>
      </c>
      <c r="C4" s="2" t="s">
        <v>134</v>
      </c>
      <c r="E4" s="2">
        <v>370</v>
      </c>
      <c r="G4" s="2">
        <v>8.1199999999999992</v>
      </c>
      <c r="H4" s="11">
        <v>7.62</v>
      </c>
      <c r="I4" s="18">
        <v>7.62</v>
      </c>
      <c r="K4" s="2">
        <v>8.83</v>
      </c>
      <c r="L4" s="2">
        <f t="shared" ref="L4:L13" si="0">G4*42</f>
        <v>341.03999999999996</v>
      </c>
      <c r="N4" s="2">
        <f t="shared" ref="N4:N13" si="1">E4-L4</f>
        <v>28.960000000000036</v>
      </c>
    </row>
    <row r="5" spans="1:14" ht="21" customHeight="1" thickBot="1">
      <c r="A5" s="2" t="s">
        <v>243</v>
      </c>
      <c r="B5" s="4" t="s">
        <v>260</v>
      </c>
      <c r="C5" s="2" t="s">
        <v>253</v>
      </c>
      <c r="E5" s="2">
        <v>460</v>
      </c>
      <c r="G5" s="2">
        <v>9.4</v>
      </c>
      <c r="H5" s="11">
        <v>8.9</v>
      </c>
      <c r="I5" s="18">
        <v>8.89</v>
      </c>
      <c r="K5" s="2">
        <f>0.71*2+G5</f>
        <v>10.82</v>
      </c>
      <c r="L5" s="2">
        <f t="shared" si="0"/>
        <v>394.8</v>
      </c>
      <c r="N5" s="2">
        <f t="shared" si="1"/>
        <v>65.199999999999989</v>
      </c>
    </row>
    <row r="6" spans="1:14" ht="21" customHeight="1" thickBot="1">
      <c r="A6" s="2" t="s">
        <v>243</v>
      </c>
      <c r="B6" s="4" t="s">
        <v>241</v>
      </c>
      <c r="C6" s="2" t="s">
        <v>252</v>
      </c>
      <c r="E6" s="2">
        <v>510</v>
      </c>
      <c r="G6" s="2">
        <v>10.67</v>
      </c>
      <c r="H6" s="11">
        <v>10.17</v>
      </c>
      <c r="I6" s="18">
        <v>10.16</v>
      </c>
      <c r="K6" s="2">
        <f>0.71*2+G6</f>
        <v>12.09</v>
      </c>
      <c r="L6" s="2">
        <f t="shared" si="0"/>
        <v>448.14</v>
      </c>
      <c r="N6" s="2">
        <f t="shared" si="1"/>
        <v>61.860000000000014</v>
      </c>
    </row>
    <row r="7" spans="1:14" ht="21" customHeight="1" thickBot="1">
      <c r="A7" s="2" t="s">
        <v>243</v>
      </c>
      <c r="B7" s="4" t="s">
        <v>242</v>
      </c>
      <c r="C7" s="2" t="s">
        <v>135</v>
      </c>
      <c r="E7" s="2">
        <v>620</v>
      </c>
      <c r="G7" s="2">
        <f>H7+0.5</f>
        <v>13.21</v>
      </c>
      <c r="H7" s="11">
        <v>12.71</v>
      </c>
      <c r="I7" s="18">
        <v>12.7</v>
      </c>
      <c r="K7" s="2">
        <f>0.71*2+G7</f>
        <v>14.63</v>
      </c>
      <c r="L7" s="2">
        <f t="shared" si="0"/>
        <v>554.82000000000005</v>
      </c>
      <c r="N7" s="2">
        <f t="shared" si="1"/>
        <v>65.17999999999995</v>
      </c>
    </row>
    <row r="8" spans="1:14" ht="21" customHeight="1" thickBot="1">
      <c r="A8" s="2" t="s">
        <v>243</v>
      </c>
      <c r="B8" s="4" t="s">
        <v>261</v>
      </c>
      <c r="C8" s="2" t="s">
        <v>254</v>
      </c>
      <c r="E8" s="2">
        <v>750</v>
      </c>
      <c r="G8" s="2">
        <v>15.75</v>
      </c>
      <c r="H8" s="11">
        <v>15.25</v>
      </c>
      <c r="I8" s="18">
        <v>15.24</v>
      </c>
      <c r="K8" s="2">
        <f>0.71*3+G8</f>
        <v>17.88</v>
      </c>
      <c r="L8" s="2">
        <f t="shared" si="0"/>
        <v>661.5</v>
      </c>
      <c r="N8" s="2">
        <f t="shared" si="1"/>
        <v>88.5</v>
      </c>
    </row>
    <row r="9" spans="1:14" ht="21" customHeight="1" thickBot="1">
      <c r="A9" s="2" t="s">
        <v>243</v>
      </c>
      <c r="B9" s="4" t="s">
        <v>262</v>
      </c>
      <c r="C9" s="2" t="s">
        <v>255</v>
      </c>
      <c r="E9" s="2">
        <v>1000</v>
      </c>
      <c r="G9" s="2">
        <v>20.84</v>
      </c>
      <c r="H9" s="11">
        <v>20.34</v>
      </c>
      <c r="I9" s="18">
        <v>20.329999999999998</v>
      </c>
      <c r="K9" s="2">
        <f>0.71*4+G9</f>
        <v>23.68</v>
      </c>
      <c r="L9" s="2">
        <f t="shared" si="0"/>
        <v>875.28</v>
      </c>
      <c r="N9" s="2">
        <f t="shared" si="1"/>
        <v>124.72000000000003</v>
      </c>
    </row>
    <row r="10" spans="1:14" ht="21" customHeight="1" thickBot="1">
      <c r="A10" s="2" t="s">
        <v>243</v>
      </c>
      <c r="B10" s="4" t="s">
        <v>263</v>
      </c>
      <c r="C10" s="2" t="s">
        <v>256</v>
      </c>
      <c r="E10" s="2">
        <v>1240</v>
      </c>
      <c r="G10" s="2">
        <v>25.92</v>
      </c>
      <c r="H10" s="11">
        <v>25.42</v>
      </c>
      <c r="I10" s="18">
        <v>25.41</v>
      </c>
      <c r="K10" s="2">
        <f>0.71*5+G10</f>
        <v>29.470000000000002</v>
      </c>
      <c r="L10" s="2">
        <f t="shared" si="0"/>
        <v>1088.6400000000001</v>
      </c>
      <c r="N10" s="2">
        <f t="shared" si="1"/>
        <v>151.3599999999999</v>
      </c>
    </row>
    <row r="11" spans="1:14" ht="21" customHeight="1" thickBot="1">
      <c r="A11" s="2" t="s">
        <v>243</v>
      </c>
      <c r="B11" s="4" t="s">
        <v>264</v>
      </c>
      <c r="C11" s="2" t="s">
        <v>257</v>
      </c>
      <c r="E11" s="2">
        <v>1480</v>
      </c>
      <c r="G11" s="2">
        <v>31.01</v>
      </c>
      <c r="H11" s="11">
        <v>30.51</v>
      </c>
      <c r="I11" s="18">
        <v>30.49</v>
      </c>
      <c r="K11" s="2">
        <f>0.71*6+G11</f>
        <v>35.270000000000003</v>
      </c>
      <c r="L11" s="2">
        <f t="shared" si="0"/>
        <v>1302.42</v>
      </c>
      <c r="N11" s="2">
        <f t="shared" si="1"/>
        <v>177.57999999999993</v>
      </c>
    </row>
    <row r="12" spans="1:14" ht="21" customHeight="1" thickBot="1">
      <c r="A12" s="2" t="s">
        <v>243</v>
      </c>
      <c r="B12" s="4" t="s">
        <v>265</v>
      </c>
      <c r="C12" s="2" t="s">
        <v>258</v>
      </c>
      <c r="E12" s="2">
        <v>1590</v>
      </c>
      <c r="G12" s="2">
        <v>33.549999999999997</v>
      </c>
      <c r="H12" s="11">
        <v>33.049999999999997</v>
      </c>
      <c r="I12" s="18">
        <v>33.04</v>
      </c>
      <c r="K12" s="2">
        <f>0.71*6+G12</f>
        <v>37.809999999999995</v>
      </c>
      <c r="L12" s="2">
        <f t="shared" si="0"/>
        <v>1409.1</v>
      </c>
      <c r="N12" s="2">
        <f t="shared" si="1"/>
        <v>180.90000000000009</v>
      </c>
    </row>
    <row r="13" spans="1:14" ht="21" customHeight="1" thickBot="1">
      <c r="A13" s="2" t="s">
        <v>243</v>
      </c>
      <c r="B13" s="4" t="s">
        <v>266</v>
      </c>
      <c r="C13" s="2" t="s">
        <v>259</v>
      </c>
      <c r="E13" s="2">
        <v>1820</v>
      </c>
      <c r="G13" s="2">
        <v>38.24</v>
      </c>
      <c r="H13" s="11">
        <v>38.14</v>
      </c>
      <c r="I13" s="18">
        <v>38.119999999999997</v>
      </c>
      <c r="K13" s="2">
        <f>0.71*7+G13</f>
        <v>43.21</v>
      </c>
      <c r="L13" s="2">
        <f t="shared" si="0"/>
        <v>1606.0800000000002</v>
      </c>
      <c r="N13" s="2">
        <f t="shared" si="1"/>
        <v>213.91999999999985</v>
      </c>
    </row>
    <row r="14" spans="1:14" ht="21" customHeight="1" thickBot="1">
      <c r="I14" s="6"/>
    </row>
    <row r="15" spans="1:14" ht="21" customHeight="1" thickBot="1">
      <c r="A15" s="2" t="s">
        <v>251</v>
      </c>
      <c r="B15" s="4" t="s">
        <v>244</v>
      </c>
      <c r="C15" s="2" t="s">
        <v>6</v>
      </c>
      <c r="E15" s="2">
        <v>270</v>
      </c>
      <c r="G15" s="2">
        <v>6</v>
      </c>
      <c r="H15" s="11">
        <v>5.94</v>
      </c>
      <c r="I15" s="6"/>
    </row>
    <row r="16" spans="1:14" ht="21" customHeight="1" thickBot="1">
      <c r="A16" s="2" t="s">
        <v>251</v>
      </c>
      <c r="B16" s="4" t="s">
        <v>245</v>
      </c>
      <c r="C16" s="2" t="s">
        <v>10</v>
      </c>
      <c r="E16" s="2">
        <v>530</v>
      </c>
      <c r="G16" s="2">
        <v>12</v>
      </c>
      <c r="H16" s="11">
        <v>11.89</v>
      </c>
      <c r="I16" s="6"/>
    </row>
    <row r="17" spans="1:9" ht="21" customHeight="1" thickBot="1">
      <c r="A17" s="2" t="s">
        <v>251</v>
      </c>
      <c r="B17" s="4" t="s">
        <v>246</v>
      </c>
      <c r="C17" s="2" t="s">
        <v>14</v>
      </c>
      <c r="E17" s="2">
        <v>1050</v>
      </c>
      <c r="G17" s="2">
        <v>24</v>
      </c>
      <c r="H17" s="11">
        <v>23.78</v>
      </c>
      <c r="I17" s="6"/>
    </row>
    <row r="18" spans="1:9" ht="21" customHeight="1" thickBot="1">
      <c r="A18" s="2" t="s">
        <v>251</v>
      </c>
      <c r="B18" s="4" t="s">
        <v>247</v>
      </c>
      <c r="C18" s="2" t="s">
        <v>17</v>
      </c>
      <c r="E18" s="2">
        <v>2570</v>
      </c>
      <c r="G18" s="2">
        <v>60</v>
      </c>
      <c r="H18" s="11">
        <v>59.44</v>
      </c>
      <c r="I18" s="6"/>
    </row>
    <row r="19" spans="1:9" ht="21" customHeight="1" thickBot="1">
      <c r="A19" s="2" t="s">
        <v>251</v>
      </c>
      <c r="B19" s="4" t="s">
        <v>248</v>
      </c>
      <c r="C19" s="2" t="s">
        <v>236</v>
      </c>
      <c r="E19" s="2">
        <v>3830</v>
      </c>
      <c r="G19" s="2">
        <v>90</v>
      </c>
      <c r="H19" s="11">
        <v>89.16</v>
      </c>
      <c r="I19" s="6"/>
    </row>
    <row r="20" spans="1:9" ht="21" customHeight="1" thickBot="1">
      <c r="A20" s="2" t="s">
        <v>251</v>
      </c>
      <c r="B20" s="4" t="s">
        <v>249</v>
      </c>
      <c r="C20" s="2" t="s">
        <v>20</v>
      </c>
      <c r="E20" s="2">
        <v>5050</v>
      </c>
      <c r="G20" s="2">
        <v>119</v>
      </c>
      <c r="H20" s="11">
        <v>118.88</v>
      </c>
      <c r="I20" s="6"/>
    </row>
    <row r="21" spans="1:9" ht="21" customHeight="1" thickBot="1">
      <c r="A21" s="2" t="s">
        <v>251</v>
      </c>
      <c r="B21" s="4" t="s">
        <v>250</v>
      </c>
      <c r="C21" s="2" t="s">
        <v>131</v>
      </c>
      <c r="E21" s="2">
        <v>7570</v>
      </c>
      <c r="G21" s="2">
        <v>179</v>
      </c>
      <c r="H21" s="11">
        <v>178.32</v>
      </c>
      <c r="I21" s="6"/>
    </row>
    <row r="22" spans="1:9" ht="21" customHeight="1" thickBot="1">
      <c r="I22" s="6"/>
    </row>
    <row r="23" spans="1:9" ht="21" customHeight="1" thickBot="1">
      <c r="B23" s="5"/>
      <c r="C23" s="3"/>
      <c r="I23" s="6"/>
    </row>
    <row r="24" spans="1:9" ht="21" customHeight="1" thickBot="1">
      <c r="C24" s="3"/>
      <c r="I24" s="6"/>
    </row>
    <row r="25" spans="1:9" ht="21" customHeight="1" thickBot="1">
      <c r="C25" s="3"/>
      <c r="I25" s="6"/>
    </row>
    <row r="26" spans="1:9" ht="21" customHeight="1" thickBot="1">
      <c r="C26" s="3"/>
      <c r="I26" s="6"/>
    </row>
    <row r="27" spans="1:9" ht="21" customHeight="1" thickBot="1">
      <c r="C27" s="3"/>
      <c r="I27" s="6"/>
    </row>
    <row r="28" spans="1:9" ht="21" customHeight="1" thickBot="1">
      <c r="C28" s="3"/>
      <c r="I28" s="6"/>
    </row>
    <row r="29" spans="1:9" ht="21" customHeight="1" thickBot="1">
      <c r="C29" s="3"/>
      <c r="I29" s="6"/>
    </row>
    <row r="30" spans="1:9" ht="21" customHeight="1" thickBot="1">
      <c r="C30" s="3"/>
      <c r="I30" s="6"/>
    </row>
    <row r="31" spans="1:9" ht="21" customHeight="1" thickBot="1">
      <c r="C31" s="3"/>
      <c r="I31" s="6"/>
    </row>
    <row r="32" spans="1:9" ht="21" customHeight="1" thickBot="1">
      <c r="I32" s="6"/>
    </row>
    <row r="33" spans="1:9" ht="21" customHeight="1" thickBot="1">
      <c r="I33" s="6"/>
    </row>
    <row r="34" spans="1:9" ht="21" customHeight="1" thickBot="1">
      <c r="I34" s="7"/>
    </row>
    <row r="35" spans="1:9" ht="21" customHeight="1" thickBot="1">
      <c r="I35" s="6"/>
    </row>
    <row r="36" spans="1:9" ht="21" customHeight="1" thickBot="1">
      <c r="I36" s="7"/>
    </row>
    <row r="37" spans="1:9" ht="21" customHeight="1" thickBot="1">
      <c r="I37" s="6"/>
    </row>
    <row r="38" spans="1:9" ht="21" customHeight="1" thickBot="1">
      <c r="I38" s="6"/>
    </row>
    <row r="39" spans="1:9" ht="21" customHeight="1" thickBot="1">
      <c r="I39" s="6"/>
    </row>
    <row r="40" spans="1:9" ht="21" customHeight="1" thickBot="1">
      <c r="I40" s="6"/>
    </row>
    <row r="41" spans="1:9" ht="21" customHeight="1" thickBot="1">
      <c r="I41" s="6"/>
    </row>
    <row r="44" spans="1:9" ht="21" customHeight="1">
      <c r="A44" s="1"/>
      <c r="B44" s="1"/>
      <c r="C44" s="1"/>
      <c r="D44" s="1"/>
      <c r="H44" s="1"/>
    </row>
    <row r="57" spans="1:8" ht="21" customHeight="1">
      <c r="C57" s="3"/>
    </row>
    <row r="58" spans="1:8" ht="21" customHeight="1">
      <c r="C58" s="3"/>
    </row>
    <row r="59" spans="1:8" ht="21" customHeight="1">
      <c r="C59" s="3"/>
    </row>
    <row r="60" spans="1:8" ht="21" customHeight="1">
      <c r="C60" s="3"/>
    </row>
    <row r="61" spans="1:8" ht="21" customHeight="1">
      <c r="C61" s="3"/>
    </row>
    <row r="64" spans="1:8" ht="21" customHeight="1">
      <c r="A64" s="1"/>
      <c r="B64" s="1"/>
      <c r="C64" s="1"/>
      <c r="D64" s="1"/>
      <c r="H64" s="1"/>
    </row>
    <row r="71" spans="1:8" ht="21" customHeight="1">
      <c r="A71" s="1"/>
      <c r="B71" s="1"/>
      <c r="C71" s="1"/>
      <c r="D71" s="1"/>
      <c r="H71" s="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3"/>
  <sheetViews>
    <sheetView topLeftCell="E1" workbookViewId="0">
      <pane ySplit="1" topLeftCell="A2" activePane="bottomLeft" state="frozen"/>
      <selection activeCell="C1" sqref="C1"/>
      <selection pane="bottomLeft" activeCell="H17" sqref="H17"/>
    </sheetView>
  </sheetViews>
  <sheetFormatPr baseColWidth="10" defaultColWidth="15.42578125" defaultRowHeight="21" customHeight="1"/>
  <cols>
    <col min="1" max="1" width="15.42578125" style="2"/>
    <col min="2" max="2" width="37.7109375" style="4" customWidth="1"/>
    <col min="3" max="4" width="20.42578125" style="2" customWidth="1"/>
    <col min="5" max="5" width="19.85546875" style="2" customWidth="1"/>
    <col min="6" max="6" width="16" style="2" customWidth="1"/>
    <col min="7" max="7" width="25" style="2" customWidth="1"/>
    <col min="8" max="10" width="25.28515625" style="2" customWidth="1"/>
    <col min="11" max="16384" width="15.42578125" style="2"/>
  </cols>
  <sheetData>
    <row r="1" spans="1:13" ht="21" customHeight="1">
      <c r="A1" s="1" t="s">
        <v>74</v>
      </c>
      <c r="B1" s="1" t="s">
        <v>0</v>
      </c>
      <c r="C1" s="1" t="s">
        <v>2</v>
      </c>
      <c r="D1" s="1" t="s">
        <v>11</v>
      </c>
      <c r="E1" s="1" t="s">
        <v>4</v>
      </c>
      <c r="F1" s="1" t="s">
        <v>5</v>
      </c>
      <c r="G1" s="1" t="s">
        <v>129</v>
      </c>
      <c r="H1" s="1" t="s">
        <v>195</v>
      </c>
      <c r="I1" s="1" t="s">
        <v>294</v>
      </c>
      <c r="J1" s="1" t="s">
        <v>346</v>
      </c>
      <c r="K1" s="2" t="s">
        <v>153</v>
      </c>
      <c r="L1" s="2" t="s">
        <v>291</v>
      </c>
      <c r="M1" s="2" t="s">
        <v>292</v>
      </c>
    </row>
    <row r="2" spans="1:13" ht="21" customHeight="1">
      <c r="A2" s="1"/>
      <c r="B2" s="1"/>
      <c r="C2" s="1"/>
      <c r="D2" s="1"/>
      <c r="E2" s="1"/>
      <c r="F2" s="1"/>
      <c r="G2" s="1"/>
      <c r="H2" s="1"/>
      <c r="I2" s="1"/>
      <c r="J2" s="1"/>
    </row>
    <row r="3" spans="1:13" ht="21" customHeight="1">
      <c r="A3" s="1"/>
      <c r="B3" s="4" t="s">
        <v>333</v>
      </c>
      <c r="C3" s="2" t="s">
        <v>293</v>
      </c>
      <c r="D3" s="1"/>
      <c r="E3" s="1">
        <v>60</v>
      </c>
      <c r="F3" s="1" t="s">
        <v>337</v>
      </c>
      <c r="G3" s="1">
        <v>0.99</v>
      </c>
      <c r="H3" s="1">
        <v>0.98</v>
      </c>
      <c r="I3" s="1">
        <v>1.04</v>
      </c>
      <c r="J3" s="1"/>
    </row>
    <row r="4" spans="1:13" ht="21" customHeight="1">
      <c r="A4" s="1"/>
      <c r="B4" s="4" t="s">
        <v>334</v>
      </c>
      <c r="C4" s="2" t="s">
        <v>295</v>
      </c>
      <c r="D4" s="1"/>
      <c r="E4" s="1">
        <v>100</v>
      </c>
      <c r="F4" s="1" t="s">
        <v>338</v>
      </c>
      <c r="G4" s="1">
        <v>1.99</v>
      </c>
      <c r="H4" s="1">
        <v>1.96</v>
      </c>
      <c r="I4" s="1">
        <v>2.0699999999999998</v>
      </c>
      <c r="J4" s="1"/>
    </row>
    <row r="5" spans="1:13" ht="21" customHeight="1">
      <c r="B5" s="4" t="s">
        <v>332</v>
      </c>
      <c r="C5" s="2" t="s">
        <v>296</v>
      </c>
      <c r="E5" s="2">
        <v>270</v>
      </c>
      <c r="F5" s="2" t="s">
        <v>6</v>
      </c>
      <c r="G5" s="2">
        <v>4.99</v>
      </c>
      <c r="H5" s="2">
        <v>4.9000000000000004</v>
      </c>
      <c r="I5" s="2">
        <v>5.18</v>
      </c>
      <c r="K5" s="2">
        <v>5.72</v>
      </c>
      <c r="L5" s="2">
        <f>SUM(K5-I5)</f>
        <v>0.54</v>
      </c>
      <c r="M5" s="2">
        <v>6.43</v>
      </c>
    </row>
    <row r="6" spans="1:13" ht="21" customHeight="1">
      <c r="B6" s="4" t="s">
        <v>297</v>
      </c>
      <c r="C6" s="2" t="s">
        <v>335</v>
      </c>
      <c r="E6" s="2">
        <v>510</v>
      </c>
      <c r="F6" s="2" t="s">
        <v>10</v>
      </c>
      <c r="G6" s="2">
        <v>9.98</v>
      </c>
      <c r="H6" s="2">
        <v>9.8000000000000007</v>
      </c>
      <c r="I6" s="2">
        <v>10.37</v>
      </c>
      <c r="K6" s="2">
        <v>10.77</v>
      </c>
      <c r="L6" s="2">
        <f>SUM(K6-I6)</f>
        <v>0.40000000000000036</v>
      </c>
      <c r="M6" s="2">
        <v>12.19</v>
      </c>
    </row>
    <row r="7" spans="1:13" ht="21" customHeight="1">
      <c r="B7" s="4" t="s">
        <v>298</v>
      </c>
      <c r="C7" s="2" t="s">
        <v>336</v>
      </c>
      <c r="E7" s="2">
        <v>990</v>
      </c>
      <c r="F7" s="2" t="s">
        <v>14</v>
      </c>
      <c r="G7" s="2">
        <v>19.97</v>
      </c>
      <c r="H7" s="2">
        <v>19.600000000000001</v>
      </c>
      <c r="I7" s="2">
        <v>20.76</v>
      </c>
      <c r="K7" s="2">
        <v>20.85</v>
      </c>
      <c r="L7" s="2">
        <f>SUM(K7-I7)</f>
        <v>8.9999999999999858E-2</v>
      </c>
      <c r="M7" s="2">
        <v>23.7</v>
      </c>
    </row>
    <row r="17" spans="2:6" ht="21" customHeight="1">
      <c r="F17" s="3"/>
    </row>
    <row r="18" spans="2:6" ht="21" customHeight="1">
      <c r="F18" s="3"/>
    </row>
    <row r="19" spans="2:6" ht="21" customHeight="1">
      <c r="F19" s="3"/>
    </row>
    <row r="20" spans="2:6" ht="21" customHeight="1">
      <c r="F20" s="3"/>
    </row>
    <row r="21" spans="2:6" ht="21" customHeight="1">
      <c r="F21" s="3"/>
    </row>
    <row r="25" spans="2:6" ht="21" customHeight="1">
      <c r="B25" s="5"/>
      <c r="F25" s="3"/>
    </row>
    <row r="26" spans="2:6" ht="21" customHeight="1">
      <c r="F26" s="3"/>
    </row>
    <row r="27" spans="2:6" ht="21" customHeight="1">
      <c r="F27" s="3"/>
    </row>
    <row r="28" spans="2:6" ht="21" customHeight="1">
      <c r="F28" s="3"/>
    </row>
    <row r="29" spans="2:6" ht="21" customHeight="1">
      <c r="F29" s="3"/>
    </row>
    <row r="30" spans="2:6" ht="21" customHeight="1">
      <c r="F30" s="3"/>
    </row>
    <row r="31" spans="2:6" ht="21" customHeight="1">
      <c r="F31" s="3"/>
    </row>
    <row r="32" spans="2:6" ht="21" customHeight="1">
      <c r="F32" s="3"/>
    </row>
    <row r="33" spans="1:7" ht="21" customHeight="1">
      <c r="F33" s="3"/>
    </row>
    <row r="46" spans="1:7" ht="21" customHeight="1">
      <c r="A46" s="1"/>
      <c r="B46" s="1"/>
      <c r="C46" s="1"/>
      <c r="D46" s="1"/>
      <c r="E46" s="1"/>
      <c r="F46" s="1"/>
      <c r="G46" s="1"/>
    </row>
    <row r="59" spans="6:6" ht="21" customHeight="1">
      <c r="F59" s="3"/>
    </row>
    <row r="60" spans="6:6" ht="21" customHeight="1">
      <c r="F60" s="3"/>
    </row>
    <row r="61" spans="6:6" ht="21" customHeight="1">
      <c r="F61" s="3"/>
    </row>
    <row r="62" spans="6:6" ht="21" customHeight="1">
      <c r="F62" s="3"/>
    </row>
    <row r="63" spans="6:6" ht="21" customHeight="1">
      <c r="F63" s="3"/>
    </row>
    <row r="66" spans="1:7" ht="21" customHeight="1">
      <c r="A66" s="1"/>
      <c r="B66" s="1"/>
      <c r="C66" s="1"/>
      <c r="D66" s="1"/>
      <c r="E66" s="1"/>
      <c r="F66" s="1"/>
      <c r="G66" s="1"/>
    </row>
    <row r="73" spans="1:7" ht="21" customHeight="1">
      <c r="A73" s="1"/>
      <c r="B73" s="1"/>
      <c r="C73" s="1"/>
      <c r="D73" s="1"/>
      <c r="E73" s="1"/>
      <c r="F73" s="1"/>
      <c r="G73" s="1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P71"/>
  <sheetViews>
    <sheetView zoomScale="85" zoomScaleNormal="85" workbookViewId="0">
      <pane ySplit="1" topLeftCell="A2" activePane="bottomLeft" state="frozen"/>
      <selection activeCell="C1" sqref="C1"/>
      <selection pane="bottomLeft" activeCell="D20" sqref="D20"/>
    </sheetView>
  </sheetViews>
  <sheetFormatPr baseColWidth="10" defaultColWidth="15.42578125" defaultRowHeight="21" customHeight="1"/>
  <cols>
    <col min="1" max="1" width="15.42578125" style="2"/>
    <col min="2" max="2" width="37.7109375" style="4" customWidth="1"/>
    <col min="3" max="4" width="16" style="2" customWidth="1"/>
    <col min="5" max="5" width="19.85546875" style="2" customWidth="1"/>
    <col min="6" max="6" width="17.7109375" style="2" customWidth="1"/>
    <col min="7" max="7" width="15.42578125" style="2"/>
    <col min="8" max="8" width="25" style="2" customWidth="1"/>
    <col min="9" max="11" width="25.28515625" style="2" customWidth="1"/>
    <col min="12" max="12" width="15.42578125" style="2"/>
    <col min="15" max="15" width="15.42578125" style="2"/>
    <col min="17" max="16384" width="15.42578125" style="2"/>
  </cols>
  <sheetData>
    <row r="1" spans="1:15" ht="21" customHeight="1">
      <c r="A1" s="1" t="s">
        <v>74</v>
      </c>
      <c r="B1" s="1" t="s">
        <v>0</v>
      </c>
      <c r="C1" s="1" t="s">
        <v>5</v>
      </c>
      <c r="D1" s="2" t="s">
        <v>291</v>
      </c>
      <c r="E1" s="1" t="s">
        <v>4</v>
      </c>
      <c r="F1" s="2" t="s">
        <v>349</v>
      </c>
      <c r="G1" s="2" t="s">
        <v>153</v>
      </c>
      <c r="H1" s="1" t="s">
        <v>129</v>
      </c>
      <c r="I1" s="1" t="s">
        <v>195</v>
      </c>
      <c r="J1" s="1" t="s">
        <v>294</v>
      </c>
      <c r="K1" s="1" t="s">
        <v>301</v>
      </c>
      <c r="L1" s="2" t="s">
        <v>292</v>
      </c>
      <c r="O1" s="2" t="s">
        <v>345</v>
      </c>
    </row>
    <row r="2" spans="1:15" ht="21" customHeight="1">
      <c r="A2" s="1"/>
      <c r="C2" s="1"/>
      <c r="D2" s="1"/>
      <c r="E2" s="1"/>
      <c r="F2" s="1"/>
      <c r="H2" s="1"/>
      <c r="I2" s="1"/>
      <c r="J2" s="1"/>
      <c r="K2" s="1"/>
    </row>
    <row r="3" spans="1:15" s="2" customFormat="1" ht="21" customHeight="1">
      <c r="A3" s="2" t="s">
        <v>303</v>
      </c>
      <c r="B3" s="4" t="s">
        <v>302</v>
      </c>
      <c r="C3" s="11" t="s">
        <v>10</v>
      </c>
      <c r="D3" s="11"/>
      <c r="E3" s="2">
        <v>540</v>
      </c>
      <c r="F3" s="11"/>
      <c r="G3" s="2">
        <v>11.49</v>
      </c>
      <c r="H3" s="2">
        <v>9.1999999999999993</v>
      </c>
      <c r="I3" s="2">
        <v>9.31</v>
      </c>
      <c r="J3" s="2">
        <v>9.99</v>
      </c>
      <c r="K3" s="2">
        <v>8.85</v>
      </c>
      <c r="L3" s="2">
        <v>12.91</v>
      </c>
      <c r="M3"/>
      <c r="N3"/>
    </row>
    <row r="4" spans="1:15" s="2" customFormat="1" ht="21" customHeight="1">
      <c r="A4" s="2" t="s">
        <v>303</v>
      </c>
      <c r="B4" s="4" t="s">
        <v>302</v>
      </c>
      <c r="C4" s="11" t="s">
        <v>14</v>
      </c>
      <c r="D4" s="11"/>
      <c r="E4" s="2">
        <v>1020</v>
      </c>
      <c r="F4" s="11"/>
      <c r="G4" s="2">
        <v>21.49</v>
      </c>
      <c r="H4" s="2">
        <v>18.41</v>
      </c>
      <c r="I4" s="2">
        <v>18.649999999999999</v>
      </c>
      <c r="J4" s="2">
        <v>19.989999999999998</v>
      </c>
      <c r="K4" s="2">
        <v>17.8</v>
      </c>
      <c r="L4" s="2">
        <v>24.34</v>
      </c>
      <c r="M4"/>
      <c r="N4"/>
    </row>
    <row r="5" spans="1:15" s="2" customFormat="1" ht="21" customHeight="1">
      <c r="A5" s="2" t="s">
        <v>303</v>
      </c>
      <c r="B5" s="4" t="s">
        <v>302</v>
      </c>
      <c r="C5" s="11" t="s">
        <v>304</v>
      </c>
      <c r="D5" s="11"/>
      <c r="E5" s="2">
        <v>1740</v>
      </c>
      <c r="F5" s="11"/>
      <c r="G5" s="2">
        <v>36.5</v>
      </c>
      <c r="H5" s="2">
        <v>32.22</v>
      </c>
      <c r="I5" s="2">
        <v>32.6</v>
      </c>
      <c r="J5" s="2">
        <v>35</v>
      </c>
      <c r="K5" s="2">
        <v>31.15</v>
      </c>
      <c r="L5" s="2">
        <v>41.5</v>
      </c>
      <c r="M5"/>
      <c r="N5"/>
    </row>
    <row r="6" spans="1:15" s="2" customFormat="1" ht="21" customHeight="1">
      <c r="A6" s="2" t="s">
        <v>303</v>
      </c>
      <c r="B6" s="4" t="s">
        <v>302</v>
      </c>
      <c r="C6" s="11" t="s">
        <v>17</v>
      </c>
      <c r="D6" s="11"/>
      <c r="E6" s="2">
        <v>2450</v>
      </c>
      <c r="F6" s="11"/>
      <c r="G6" s="2">
        <v>51.49</v>
      </c>
      <c r="H6" s="2">
        <v>46.03</v>
      </c>
      <c r="I6" s="2">
        <v>46.45</v>
      </c>
      <c r="J6" s="2">
        <v>49.99</v>
      </c>
      <c r="K6" s="2">
        <v>44.5</v>
      </c>
      <c r="L6" s="2">
        <v>58.59</v>
      </c>
      <c r="M6"/>
      <c r="N6"/>
    </row>
    <row r="7" spans="1:15" s="2" customFormat="1" ht="21" customHeight="1">
      <c r="B7" s="4"/>
      <c r="C7" s="11"/>
      <c r="D7" s="11"/>
      <c r="F7" s="11"/>
      <c r="M7"/>
      <c r="N7"/>
    </row>
    <row r="8" spans="1:15" s="2" customFormat="1" ht="21" customHeight="1">
      <c r="A8" s="2" t="s">
        <v>33</v>
      </c>
      <c r="B8" s="4" t="s">
        <v>302</v>
      </c>
      <c r="C8" s="11" t="s">
        <v>216</v>
      </c>
      <c r="D8" s="11"/>
      <c r="E8" s="2">
        <v>880</v>
      </c>
      <c r="F8" s="11"/>
      <c r="G8" s="2">
        <v>18.84</v>
      </c>
      <c r="H8" s="2">
        <v>16.399999999999999</v>
      </c>
      <c r="I8" s="2">
        <v>16.760000000000002</v>
      </c>
      <c r="J8" s="2">
        <v>17.34</v>
      </c>
      <c r="K8" s="2">
        <v>0</v>
      </c>
      <c r="L8" s="2">
        <v>20.97</v>
      </c>
      <c r="M8"/>
      <c r="N8"/>
    </row>
    <row r="9" spans="1:15" s="2" customFormat="1" ht="21" customHeight="1">
      <c r="A9" s="2" t="s">
        <v>33</v>
      </c>
      <c r="B9" s="4" t="s">
        <v>302</v>
      </c>
      <c r="C9" s="11" t="s">
        <v>80</v>
      </c>
      <c r="D9" s="11"/>
      <c r="E9" s="2">
        <v>1450</v>
      </c>
      <c r="F9" s="11"/>
      <c r="G9" s="2">
        <v>30.41</v>
      </c>
      <c r="H9" s="2">
        <v>27.33</v>
      </c>
      <c r="I9" s="2">
        <v>27.93</v>
      </c>
      <c r="J9" s="2">
        <v>28.91</v>
      </c>
      <c r="K9" s="2">
        <v>0</v>
      </c>
      <c r="L9" s="2">
        <v>34.67</v>
      </c>
      <c r="M9"/>
      <c r="N9"/>
    </row>
    <row r="10" spans="1:15" s="2" customFormat="1" ht="21" customHeight="1">
      <c r="A10" s="2" t="s">
        <v>33</v>
      </c>
      <c r="B10" s="4" t="s">
        <v>302</v>
      </c>
      <c r="C10" s="11" t="s">
        <v>17</v>
      </c>
      <c r="D10" s="11"/>
      <c r="E10" s="2">
        <v>2800</v>
      </c>
      <c r="F10" s="11"/>
      <c r="G10" s="2">
        <v>59.32</v>
      </c>
      <c r="H10" s="2">
        <v>54.67</v>
      </c>
      <c r="I10" s="2">
        <v>55.86</v>
      </c>
      <c r="J10" s="2">
        <v>57.82</v>
      </c>
      <c r="K10" s="2">
        <v>0</v>
      </c>
      <c r="L10" s="2">
        <v>67.13</v>
      </c>
      <c r="M10"/>
      <c r="N10"/>
    </row>
    <row r="11" spans="1:15" s="2" customFormat="1" ht="21" customHeight="1">
      <c r="B11" s="4"/>
      <c r="C11" s="11"/>
      <c r="D11" s="11"/>
      <c r="F11" s="11"/>
      <c r="M11"/>
      <c r="N11"/>
    </row>
    <row r="12" spans="1:15" s="2" customFormat="1" ht="21" customHeight="1">
      <c r="A12" s="2" t="s">
        <v>32</v>
      </c>
      <c r="B12" s="4" t="s">
        <v>302</v>
      </c>
      <c r="C12" s="11" t="s">
        <v>216</v>
      </c>
      <c r="D12" s="11"/>
      <c r="E12" s="2">
        <v>880</v>
      </c>
      <c r="F12" s="11"/>
      <c r="G12" s="2">
        <v>19.010000000000002</v>
      </c>
      <c r="H12" s="2">
        <v>17.38</v>
      </c>
      <c r="I12" s="2">
        <v>17.510000000000002</v>
      </c>
      <c r="J12" s="2">
        <v>17.34</v>
      </c>
      <c r="L12" s="2">
        <v>21.14</v>
      </c>
      <c r="M12"/>
      <c r="N12"/>
    </row>
    <row r="13" spans="1:15" s="2" customFormat="1" ht="21" customHeight="1">
      <c r="A13" s="2" t="s">
        <v>32</v>
      </c>
      <c r="B13" s="4" t="s">
        <v>302</v>
      </c>
      <c r="C13" s="11" t="s">
        <v>80</v>
      </c>
      <c r="D13" s="11"/>
      <c r="E13" s="2">
        <v>1450</v>
      </c>
      <c r="F13" s="11"/>
      <c r="G13" s="2">
        <v>30.69</v>
      </c>
      <c r="H13" s="2">
        <v>28.97</v>
      </c>
      <c r="I13" s="2">
        <v>29.19</v>
      </c>
      <c r="J13" s="2">
        <v>28.91</v>
      </c>
      <c r="L13" s="2">
        <v>34.950000000000003</v>
      </c>
      <c r="M13"/>
      <c r="N13"/>
    </row>
    <row r="14" spans="1:15" s="2" customFormat="1" ht="21" customHeight="1">
      <c r="A14" s="2" t="s">
        <v>32</v>
      </c>
      <c r="B14" s="4" t="s">
        <v>302</v>
      </c>
      <c r="C14" s="11" t="s">
        <v>17</v>
      </c>
      <c r="D14" s="11"/>
      <c r="E14" s="2">
        <v>2840</v>
      </c>
      <c r="F14" s="11"/>
      <c r="G14" s="2">
        <v>59.88</v>
      </c>
      <c r="H14" s="2">
        <v>57.94</v>
      </c>
      <c r="I14" s="2">
        <v>58.38</v>
      </c>
      <c r="J14" s="2">
        <v>57.82</v>
      </c>
      <c r="L14" s="2">
        <v>67.69</v>
      </c>
      <c r="M14"/>
      <c r="N14"/>
    </row>
    <row r="15" spans="1:15" s="2" customFormat="1" ht="21" customHeight="1">
      <c r="A15" s="2" t="s">
        <v>32</v>
      </c>
      <c r="B15" s="4" t="s">
        <v>302</v>
      </c>
      <c r="C15" s="3" t="s">
        <v>236</v>
      </c>
      <c r="D15" s="3"/>
      <c r="E15" s="2">
        <v>4200</v>
      </c>
      <c r="F15" s="3"/>
      <c r="G15" s="2">
        <v>88.42</v>
      </c>
      <c r="H15" s="2">
        <v>86.92</v>
      </c>
      <c r="J15" s="2">
        <v>86.76</v>
      </c>
      <c r="L15" s="2">
        <v>100.49</v>
      </c>
      <c r="M15"/>
      <c r="N15"/>
    </row>
    <row r="16" spans="1:15" s="2" customFormat="1" ht="21" customHeight="1">
      <c r="B16" s="4"/>
      <c r="C16" s="3"/>
      <c r="D16" s="3"/>
      <c r="F16" s="3"/>
      <c r="M16"/>
      <c r="N16"/>
    </row>
    <row r="17" spans="2:6" ht="21" customHeight="1">
      <c r="C17" s="3"/>
      <c r="D17" s="3"/>
      <c r="F17" s="3"/>
    </row>
    <row r="18" spans="2:6" ht="21" customHeight="1">
      <c r="C18" s="3"/>
      <c r="D18" s="3"/>
      <c r="F18" s="3"/>
    </row>
    <row r="19" spans="2:6" ht="21" customHeight="1">
      <c r="C19" s="3"/>
      <c r="D19" s="3"/>
      <c r="F19" s="3"/>
    </row>
    <row r="23" spans="2:6" ht="21" customHeight="1">
      <c r="B23" s="5"/>
      <c r="C23" s="3"/>
      <c r="D23" s="3"/>
      <c r="F23" s="3"/>
    </row>
    <row r="24" spans="2:6" ht="21" customHeight="1">
      <c r="C24" s="3"/>
      <c r="D24" s="3"/>
      <c r="F24" s="3"/>
    </row>
    <row r="25" spans="2:6" ht="21" customHeight="1">
      <c r="C25" s="3"/>
      <c r="D25" s="3"/>
      <c r="F25" s="3"/>
    </row>
    <row r="26" spans="2:6" ht="21" customHeight="1">
      <c r="C26" s="3"/>
      <c r="D26" s="3"/>
      <c r="F26" s="3"/>
    </row>
    <row r="27" spans="2:6" ht="21" customHeight="1">
      <c r="C27" s="3"/>
      <c r="D27" s="3"/>
      <c r="F27" s="3"/>
    </row>
    <row r="28" spans="2:6" ht="21" customHeight="1">
      <c r="C28" s="3"/>
      <c r="D28" s="3"/>
      <c r="F28" s="3"/>
    </row>
    <row r="29" spans="2:6" ht="21" customHeight="1">
      <c r="C29" s="3"/>
      <c r="D29" s="3"/>
      <c r="F29" s="3"/>
    </row>
    <row r="30" spans="2:6" ht="21" customHeight="1">
      <c r="C30" s="3"/>
      <c r="D30" s="3"/>
      <c r="F30" s="3"/>
    </row>
    <row r="31" spans="2:6" ht="21" customHeight="1">
      <c r="C31" s="3"/>
      <c r="D31" s="3"/>
      <c r="F31" s="3"/>
    </row>
    <row r="44" spans="1:8" ht="21" customHeight="1">
      <c r="A44" s="1"/>
      <c r="B44" s="1"/>
      <c r="C44" s="1"/>
      <c r="D44" s="1"/>
      <c r="E44" s="1"/>
      <c r="F44" s="1"/>
      <c r="H44" s="1"/>
    </row>
    <row r="57" spans="1:8" ht="21" customHeight="1">
      <c r="C57" s="3"/>
      <c r="D57" s="3"/>
      <c r="F57" s="3"/>
    </row>
    <row r="58" spans="1:8" ht="21" customHeight="1">
      <c r="C58" s="3"/>
      <c r="D58" s="3"/>
      <c r="F58" s="3"/>
    </row>
    <row r="59" spans="1:8" ht="21" customHeight="1">
      <c r="C59" s="3"/>
      <c r="D59" s="3"/>
      <c r="F59" s="3"/>
    </row>
    <row r="60" spans="1:8" ht="21" customHeight="1">
      <c r="C60" s="3"/>
      <c r="D60" s="3"/>
      <c r="F60" s="3"/>
    </row>
    <row r="61" spans="1:8" ht="21" customHeight="1">
      <c r="C61" s="3"/>
      <c r="D61" s="3"/>
      <c r="F61" s="3"/>
    </row>
    <row r="64" spans="1:8" ht="21" customHeight="1">
      <c r="A64" s="1"/>
      <c r="B64" s="1"/>
      <c r="C64" s="1"/>
      <c r="D64" s="1"/>
      <c r="E64" s="1"/>
      <c r="F64" s="1"/>
      <c r="H64" s="1"/>
    </row>
    <row r="71" spans="1:8" ht="21" customHeight="1">
      <c r="A71" s="1"/>
      <c r="B71" s="1"/>
      <c r="C71" s="1"/>
      <c r="D71" s="1"/>
      <c r="E71" s="1"/>
      <c r="F71" s="1"/>
      <c r="H71" s="1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P103"/>
  <sheetViews>
    <sheetView zoomScale="70" zoomScaleNormal="70" workbookViewId="0">
      <pane ySplit="1" topLeftCell="A54" activePane="bottomLeft" state="frozen"/>
      <selection activeCell="C1" sqref="C1"/>
      <selection pane="bottomLeft" activeCell="A70" sqref="A70:XFD70"/>
    </sheetView>
  </sheetViews>
  <sheetFormatPr baseColWidth="10" defaultColWidth="15.42578125" defaultRowHeight="21" customHeight="1"/>
  <cols>
    <col min="1" max="1" width="15.42578125" style="2"/>
    <col min="2" max="2" width="37.7109375" style="4" customWidth="1"/>
    <col min="3" max="3" width="16" style="2" customWidth="1"/>
    <col min="4" max="4" width="20.42578125" style="2" customWidth="1"/>
    <col min="5" max="6" width="19.85546875" style="2" customWidth="1"/>
    <col min="7" max="7" width="15.42578125" style="2"/>
    <col min="8" max="8" width="25" style="2" customWidth="1"/>
    <col min="9" max="10" width="25.28515625" style="2" customWidth="1"/>
    <col min="11" max="11" width="25" style="2" customWidth="1"/>
    <col min="12" max="16384" width="15.42578125" style="2"/>
  </cols>
  <sheetData>
    <row r="1" spans="1:12" ht="21" customHeight="1">
      <c r="A1" s="1" t="s">
        <v>74</v>
      </c>
      <c r="B1" s="1" t="s">
        <v>0</v>
      </c>
      <c r="C1" s="1" t="s">
        <v>5</v>
      </c>
      <c r="D1" s="1" t="s">
        <v>344</v>
      </c>
      <c r="E1" s="1" t="s">
        <v>4</v>
      </c>
      <c r="F1" s="1" t="s">
        <v>349</v>
      </c>
      <c r="G1" s="2" t="s">
        <v>153</v>
      </c>
      <c r="H1" s="1" t="s">
        <v>129</v>
      </c>
      <c r="I1" s="1" t="s">
        <v>195</v>
      </c>
      <c r="J1" s="1" t="s">
        <v>278</v>
      </c>
      <c r="K1" s="1" t="s">
        <v>130</v>
      </c>
      <c r="L1" s="2" t="s">
        <v>292</v>
      </c>
    </row>
    <row r="2" spans="1:12" ht="21" customHeight="1">
      <c r="A2" s="1"/>
      <c r="B2" s="1"/>
      <c r="C2" s="1"/>
      <c r="D2" s="1"/>
      <c r="E2" s="1"/>
      <c r="F2" s="1"/>
      <c r="H2" s="1"/>
      <c r="I2" s="1"/>
      <c r="J2" s="1"/>
      <c r="K2" s="1"/>
    </row>
    <row r="3" spans="1:12" ht="21" customHeight="1">
      <c r="A3" s="1" t="s">
        <v>407</v>
      </c>
      <c r="B3" s="4" t="s">
        <v>408</v>
      </c>
      <c r="C3" s="22">
        <v>10</v>
      </c>
      <c r="D3" s="1">
        <f>E3-F3</f>
        <v>69.460000000000036</v>
      </c>
      <c r="E3" s="1">
        <v>610</v>
      </c>
      <c r="F3" s="1">
        <f>G3*42</f>
        <v>540.54</v>
      </c>
      <c r="G3" s="2">
        <v>12.87</v>
      </c>
      <c r="H3" s="1"/>
      <c r="I3" s="1">
        <v>11.81</v>
      </c>
      <c r="J3" s="1">
        <v>12.06</v>
      </c>
      <c r="K3" s="1">
        <v>12.47</v>
      </c>
      <c r="L3" s="2">
        <f>((G3/5)*0.71)+G3</f>
        <v>14.697539999999998</v>
      </c>
    </row>
    <row r="4" spans="1:12" ht="21" customHeight="1">
      <c r="A4" s="1" t="s">
        <v>407</v>
      </c>
      <c r="B4" s="4" t="s">
        <v>409</v>
      </c>
      <c r="C4" s="22">
        <v>20</v>
      </c>
      <c r="D4" s="1">
        <f t="shared" ref="D4:D8" si="0">E4-F4</f>
        <v>146.22000000000003</v>
      </c>
      <c r="E4" s="1">
        <v>1200</v>
      </c>
      <c r="F4" s="1">
        <f t="shared" ref="F4:F8" si="1">G4*42</f>
        <v>1053.78</v>
      </c>
      <c r="G4" s="2">
        <f>K4+0.4</f>
        <v>25.09</v>
      </c>
      <c r="H4" s="1"/>
      <c r="I4" s="1">
        <v>23.63</v>
      </c>
      <c r="J4" s="1">
        <v>24.12</v>
      </c>
      <c r="K4" s="1">
        <v>24.69</v>
      </c>
      <c r="L4" s="2">
        <f t="shared" ref="L4:L8" si="2">((G4/5)*0.71)+G4</f>
        <v>28.65278</v>
      </c>
    </row>
    <row r="5" spans="1:12" ht="21" customHeight="1">
      <c r="A5" s="1" t="s">
        <v>407</v>
      </c>
      <c r="B5" s="4" t="s">
        <v>410</v>
      </c>
      <c r="C5" s="22">
        <v>50</v>
      </c>
      <c r="D5" s="1">
        <f t="shared" si="0"/>
        <v>372.22000000000025</v>
      </c>
      <c r="E5" s="1">
        <v>2980</v>
      </c>
      <c r="F5" s="1">
        <f t="shared" si="1"/>
        <v>2607.7799999999997</v>
      </c>
      <c r="G5" s="2">
        <f t="shared" ref="G5:G8" si="3">K5+0.4</f>
        <v>62.089999999999996</v>
      </c>
      <c r="H5" s="1"/>
      <c r="I5" s="1">
        <v>59.09</v>
      </c>
      <c r="J5" s="1">
        <v>60.31</v>
      </c>
      <c r="K5" s="1">
        <v>61.69</v>
      </c>
      <c r="L5" s="2">
        <f t="shared" si="2"/>
        <v>70.906779999999998</v>
      </c>
    </row>
    <row r="6" spans="1:12" ht="21" customHeight="1">
      <c r="A6" s="1" t="s">
        <v>407</v>
      </c>
      <c r="B6" s="4" t="s">
        <v>411</v>
      </c>
      <c r="C6" s="22">
        <v>60</v>
      </c>
      <c r="D6" s="1">
        <f t="shared" si="0"/>
        <v>440.6599999999994</v>
      </c>
      <c r="E6" s="1">
        <v>3560</v>
      </c>
      <c r="F6" s="1">
        <f t="shared" si="1"/>
        <v>3119.3400000000006</v>
      </c>
      <c r="G6" s="2">
        <f t="shared" si="3"/>
        <v>74.27000000000001</v>
      </c>
      <c r="H6" s="1"/>
      <c r="I6" s="1">
        <v>70.91</v>
      </c>
      <c r="J6" s="1">
        <v>72.38</v>
      </c>
      <c r="K6" s="1">
        <v>73.87</v>
      </c>
      <c r="L6" s="2">
        <f t="shared" si="2"/>
        <v>84.816340000000011</v>
      </c>
    </row>
    <row r="7" spans="1:12" ht="21" customHeight="1">
      <c r="A7" s="1" t="s">
        <v>407</v>
      </c>
      <c r="B7" s="4" t="s">
        <v>412</v>
      </c>
      <c r="C7" s="22">
        <v>80</v>
      </c>
      <c r="D7" s="1">
        <f t="shared" si="0"/>
        <v>592.92000000000007</v>
      </c>
      <c r="E7" s="1">
        <v>4740</v>
      </c>
      <c r="F7" s="1">
        <f t="shared" si="1"/>
        <v>4147.08</v>
      </c>
      <c r="G7" s="2">
        <f t="shared" si="3"/>
        <v>98.740000000000009</v>
      </c>
      <c r="H7" s="1"/>
      <c r="I7" s="1">
        <v>93.62</v>
      </c>
      <c r="J7" s="1">
        <v>96.51</v>
      </c>
      <c r="K7" s="1">
        <v>98.34</v>
      </c>
      <c r="L7" s="2">
        <f t="shared" si="2"/>
        <v>112.76108000000001</v>
      </c>
    </row>
    <row r="8" spans="1:12" ht="21" customHeight="1">
      <c r="A8" s="1" t="s">
        <v>407</v>
      </c>
      <c r="B8" s="4" t="s">
        <v>413</v>
      </c>
      <c r="C8" s="22">
        <v>100</v>
      </c>
      <c r="D8" s="1">
        <f t="shared" si="0"/>
        <v>740.5</v>
      </c>
      <c r="E8" s="1">
        <v>5980</v>
      </c>
      <c r="F8" s="1">
        <f t="shared" si="1"/>
        <v>5239.5</v>
      </c>
      <c r="G8" s="2">
        <f t="shared" si="3"/>
        <v>124.75</v>
      </c>
      <c r="H8" s="1"/>
      <c r="I8" s="1">
        <v>118.19</v>
      </c>
      <c r="J8" s="1">
        <v>120.63</v>
      </c>
      <c r="K8" s="1">
        <v>124.35</v>
      </c>
      <c r="L8" s="2">
        <f t="shared" si="2"/>
        <v>142.46449999999999</v>
      </c>
    </row>
    <row r="9" spans="1:12" ht="21" customHeight="1">
      <c r="A9" s="1"/>
      <c r="B9" s="1"/>
      <c r="C9" s="1"/>
      <c r="D9" s="1"/>
      <c r="E9" s="1"/>
      <c r="F9" s="1"/>
      <c r="H9" s="1"/>
      <c r="I9" s="1"/>
      <c r="J9" s="1"/>
      <c r="K9" s="1"/>
    </row>
    <row r="10" spans="1:12" ht="21" customHeight="1">
      <c r="A10" s="2" t="s">
        <v>78</v>
      </c>
      <c r="B10" s="4" t="s">
        <v>75</v>
      </c>
      <c r="C10" s="2" t="s">
        <v>10</v>
      </c>
      <c r="D10" s="2">
        <f>E10-F10</f>
        <v>40</v>
      </c>
      <c r="E10" s="2">
        <v>460</v>
      </c>
      <c r="F10" s="2">
        <f>G10*42</f>
        <v>420</v>
      </c>
      <c r="G10" s="2">
        <v>10</v>
      </c>
      <c r="H10" s="2">
        <v>8.8000000000000007</v>
      </c>
      <c r="I10" s="8">
        <v>9</v>
      </c>
      <c r="J10" s="8"/>
      <c r="K10" s="2">
        <v>8.8000000000000007</v>
      </c>
      <c r="L10" s="2">
        <f>((G10/5)*0.71)+G10</f>
        <v>11.42</v>
      </c>
    </row>
    <row r="11" spans="1:12" ht="21" customHeight="1">
      <c r="A11" s="2" t="s">
        <v>78</v>
      </c>
      <c r="B11" s="4" t="s">
        <v>79</v>
      </c>
      <c r="C11" s="2" t="s">
        <v>80</v>
      </c>
      <c r="D11" s="2">
        <f t="shared" ref="D11:D73" si="4">E11-F11</f>
        <v>113</v>
      </c>
      <c r="E11" s="2">
        <v>1100</v>
      </c>
      <c r="F11" s="2">
        <f t="shared" ref="F11:F72" si="5">G11*42</f>
        <v>987</v>
      </c>
      <c r="G11" s="2">
        <v>23.5</v>
      </c>
      <c r="H11" s="2">
        <v>22</v>
      </c>
      <c r="I11" s="8">
        <v>22.5</v>
      </c>
      <c r="J11" s="8"/>
      <c r="K11" s="2">
        <v>22</v>
      </c>
      <c r="L11" s="2">
        <f t="shared" ref="L11:L71" si="6">((G11/5)*0.71)+G11</f>
        <v>26.837</v>
      </c>
    </row>
    <row r="12" spans="1:12" ht="21" customHeight="1">
      <c r="A12" s="2" t="s">
        <v>78</v>
      </c>
      <c r="B12" s="4" t="s">
        <v>81</v>
      </c>
      <c r="C12" s="2" t="s">
        <v>17</v>
      </c>
      <c r="D12" s="2">
        <f t="shared" si="4"/>
        <v>266.90000000000009</v>
      </c>
      <c r="E12" s="2">
        <v>2180</v>
      </c>
      <c r="F12" s="2">
        <f t="shared" si="5"/>
        <v>1913.1</v>
      </c>
      <c r="G12" s="2">
        <v>45.55</v>
      </c>
      <c r="H12" s="2">
        <v>44</v>
      </c>
      <c r="I12" s="8">
        <v>45</v>
      </c>
      <c r="J12" s="8"/>
      <c r="K12" s="2">
        <v>44.25</v>
      </c>
      <c r="L12" s="2">
        <f t="shared" si="6"/>
        <v>52.018099999999997</v>
      </c>
    </row>
    <row r="13" spans="1:12" ht="21" customHeight="1">
      <c r="A13" s="2" t="s">
        <v>78</v>
      </c>
      <c r="B13" s="4" t="s">
        <v>83</v>
      </c>
      <c r="C13" s="2" t="s">
        <v>20</v>
      </c>
      <c r="D13" s="2">
        <f t="shared" si="4"/>
        <v>539</v>
      </c>
      <c r="E13" s="2">
        <v>4340</v>
      </c>
      <c r="F13" s="2">
        <f t="shared" si="5"/>
        <v>3801</v>
      </c>
      <c r="G13" s="2">
        <v>90.5</v>
      </c>
      <c r="H13" s="2">
        <v>89</v>
      </c>
      <c r="I13" s="8">
        <v>90</v>
      </c>
      <c r="J13" s="8"/>
      <c r="K13" s="2">
        <v>88.5</v>
      </c>
      <c r="L13" s="2">
        <f t="shared" si="6"/>
        <v>103.351</v>
      </c>
    </row>
    <row r="14" spans="1:12" ht="21" customHeight="1">
      <c r="D14" s="2">
        <f t="shared" si="4"/>
        <v>0</v>
      </c>
      <c r="F14" s="2">
        <f t="shared" si="5"/>
        <v>0</v>
      </c>
      <c r="I14" s="8"/>
      <c r="J14" s="8"/>
      <c r="L14" s="2">
        <f t="shared" si="6"/>
        <v>0</v>
      </c>
    </row>
    <row r="15" spans="1:12" ht="21" customHeight="1">
      <c r="A15" s="2" t="s">
        <v>85</v>
      </c>
      <c r="B15" s="4" t="s">
        <v>86</v>
      </c>
      <c r="C15" s="2" t="s">
        <v>88</v>
      </c>
      <c r="D15" s="2">
        <f t="shared" si="4"/>
        <v>86.800000000000068</v>
      </c>
      <c r="E15" s="2">
        <v>700</v>
      </c>
      <c r="F15" s="2">
        <f t="shared" si="5"/>
        <v>613.19999999999993</v>
      </c>
      <c r="G15" s="2">
        <v>14.6</v>
      </c>
      <c r="H15" s="2">
        <v>12.53</v>
      </c>
      <c r="I15" s="8" t="s">
        <v>197</v>
      </c>
      <c r="J15" s="8"/>
      <c r="K15" s="2">
        <v>13.31</v>
      </c>
      <c r="L15" s="2">
        <f t="shared" si="6"/>
        <v>16.673200000000001</v>
      </c>
    </row>
    <row r="16" spans="1:12" ht="21" customHeight="1">
      <c r="A16" s="2" t="s">
        <v>85</v>
      </c>
      <c r="B16" s="4" t="s">
        <v>89</v>
      </c>
      <c r="C16" s="2" t="s">
        <v>91</v>
      </c>
      <c r="D16" s="2">
        <f t="shared" si="4"/>
        <v>147.51999999999998</v>
      </c>
      <c r="E16" s="2">
        <v>1300</v>
      </c>
      <c r="F16" s="2">
        <f t="shared" si="5"/>
        <v>1152.48</v>
      </c>
      <c r="G16" s="2">
        <v>27.44</v>
      </c>
      <c r="H16" s="2">
        <v>25.05</v>
      </c>
      <c r="I16" s="8">
        <v>26.34</v>
      </c>
      <c r="J16" s="8"/>
      <c r="K16" s="2">
        <v>25.8</v>
      </c>
      <c r="L16" s="2">
        <f t="shared" si="6"/>
        <v>31.336480000000002</v>
      </c>
    </row>
    <row r="17" spans="1:12" ht="21" customHeight="1">
      <c r="A17" s="2" t="s">
        <v>85</v>
      </c>
      <c r="B17" s="4" t="s">
        <v>92</v>
      </c>
      <c r="C17" s="2" t="s">
        <v>93</v>
      </c>
      <c r="D17" s="2">
        <f t="shared" si="4"/>
        <v>298.03999999999996</v>
      </c>
      <c r="E17" s="2">
        <v>2540</v>
      </c>
      <c r="F17" s="2">
        <f t="shared" si="5"/>
        <v>2241.96</v>
      </c>
      <c r="G17" s="2">
        <v>53.38</v>
      </c>
      <c r="H17" s="2">
        <v>49.62</v>
      </c>
      <c r="I17" s="8">
        <v>52.69</v>
      </c>
      <c r="J17" s="8"/>
      <c r="K17" s="2">
        <v>51.6</v>
      </c>
      <c r="L17" s="2">
        <f t="shared" si="6"/>
        <v>60.959960000000002</v>
      </c>
    </row>
    <row r="18" spans="1:12" ht="21" customHeight="1">
      <c r="A18" s="2" t="s">
        <v>85</v>
      </c>
      <c r="B18" s="4" t="s">
        <v>95</v>
      </c>
      <c r="C18" s="2" t="s">
        <v>97</v>
      </c>
      <c r="D18" s="2">
        <f t="shared" si="4"/>
        <v>381.69999999999982</v>
      </c>
      <c r="E18" s="2">
        <v>3160</v>
      </c>
      <c r="F18" s="2">
        <f t="shared" si="5"/>
        <v>2778.3</v>
      </c>
      <c r="G18" s="2">
        <v>66.150000000000006</v>
      </c>
      <c r="H18" s="2">
        <v>61.74</v>
      </c>
      <c r="I18" s="8">
        <v>65.86</v>
      </c>
      <c r="J18" s="8"/>
      <c r="K18" s="2">
        <v>64.489999999999995</v>
      </c>
      <c r="L18" s="2">
        <f t="shared" si="6"/>
        <v>75.543300000000002</v>
      </c>
    </row>
    <row r="19" spans="1:12" ht="21" customHeight="1">
      <c r="A19" s="2" t="s">
        <v>85</v>
      </c>
      <c r="B19" s="4" t="s">
        <v>98</v>
      </c>
      <c r="C19" s="2" t="s">
        <v>100</v>
      </c>
      <c r="D19" s="2">
        <f t="shared" si="4"/>
        <v>802.3799999999992</v>
      </c>
      <c r="E19" s="2">
        <v>6540</v>
      </c>
      <c r="F19" s="2">
        <f t="shared" si="5"/>
        <v>5737.6200000000008</v>
      </c>
      <c r="G19" s="2">
        <v>136.61000000000001</v>
      </c>
      <c r="H19" s="2">
        <v>124.18</v>
      </c>
      <c r="I19" s="8" t="s">
        <v>198</v>
      </c>
      <c r="J19" s="8"/>
      <c r="K19" s="2">
        <v>131.66999999999999</v>
      </c>
      <c r="L19" s="2">
        <f t="shared" si="6"/>
        <v>156.00862000000001</v>
      </c>
    </row>
    <row r="20" spans="1:12" ht="21" customHeight="1">
      <c r="D20" s="2">
        <f t="shared" si="4"/>
        <v>0</v>
      </c>
      <c r="F20" s="2">
        <f t="shared" si="5"/>
        <v>0</v>
      </c>
      <c r="I20" s="8"/>
      <c r="J20" s="8"/>
      <c r="L20" s="2">
        <f t="shared" si="6"/>
        <v>0</v>
      </c>
    </row>
    <row r="21" spans="1:12" ht="21" customHeight="1">
      <c r="A21" s="2" t="s">
        <v>43</v>
      </c>
      <c r="B21" s="4" t="s">
        <v>101</v>
      </c>
      <c r="C21" s="2" t="s">
        <v>14</v>
      </c>
      <c r="D21" s="2">
        <f t="shared" si="4"/>
        <v>105.39999999999998</v>
      </c>
      <c r="E21" s="2">
        <v>1000</v>
      </c>
      <c r="F21" s="2">
        <f t="shared" si="5"/>
        <v>894.6</v>
      </c>
      <c r="G21" s="2">
        <v>21.3</v>
      </c>
      <c r="H21" s="2">
        <v>18.600000000000001</v>
      </c>
      <c r="I21" s="9"/>
      <c r="J21" s="9"/>
      <c r="K21" s="2">
        <v>19.8</v>
      </c>
      <c r="L21" s="2">
        <f t="shared" si="6"/>
        <v>24.3246</v>
      </c>
    </row>
    <row r="22" spans="1:12" ht="21" customHeight="1">
      <c r="A22" s="2" t="s">
        <v>43</v>
      </c>
      <c r="B22" s="4" t="s">
        <v>103</v>
      </c>
      <c r="C22" s="2" t="s">
        <v>17</v>
      </c>
      <c r="D22" s="2">
        <f t="shared" si="4"/>
        <v>298</v>
      </c>
      <c r="E22" s="2">
        <v>2440</v>
      </c>
      <c r="F22" s="2">
        <f t="shared" si="5"/>
        <v>2142</v>
      </c>
      <c r="G22" s="2">
        <v>51</v>
      </c>
      <c r="H22" s="2">
        <v>46.5</v>
      </c>
      <c r="I22" s="8">
        <v>52.52</v>
      </c>
      <c r="J22" s="8"/>
      <c r="K22" s="2">
        <v>49.5</v>
      </c>
      <c r="L22" s="2">
        <f t="shared" si="6"/>
        <v>58.241999999999997</v>
      </c>
    </row>
    <row r="23" spans="1:12" ht="21" customHeight="1">
      <c r="A23" s="2" t="s">
        <v>43</v>
      </c>
      <c r="B23" s="4" t="s">
        <v>105</v>
      </c>
      <c r="C23" s="2" t="s">
        <v>20</v>
      </c>
      <c r="D23" s="2">
        <f t="shared" si="4"/>
        <v>600</v>
      </c>
      <c r="E23" s="2">
        <v>4800</v>
      </c>
      <c r="F23" s="2">
        <f t="shared" si="5"/>
        <v>4200</v>
      </c>
      <c r="G23" s="2">
        <v>100</v>
      </c>
      <c r="H23" s="2">
        <v>93</v>
      </c>
      <c r="I23" s="8">
        <v>104</v>
      </c>
      <c r="J23" s="8"/>
      <c r="K23" s="2">
        <v>99</v>
      </c>
      <c r="L23" s="2">
        <f t="shared" si="6"/>
        <v>114.2</v>
      </c>
    </row>
    <row r="24" spans="1:12" ht="21" customHeight="1">
      <c r="D24" s="2">
        <f t="shared" si="4"/>
        <v>0</v>
      </c>
      <c r="F24" s="2">
        <f t="shared" si="5"/>
        <v>0</v>
      </c>
      <c r="I24" s="8"/>
      <c r="J24" s="8"/>
      <c r="L24" s="2">
        <f t="shared" si="6"/>
        <v>0</v>
      </c>
    </row>
    <row r="25" spans="1:12" ht="21" customHeight="1">
      <c r="A25" s="2" t="s">
        <v>32</v>
      </c>
      <c r="B25" s="4" t="s">
        <v>107</v>
      </c>
      <c r="C25" s="3">
        <v>10</v>
      </c>
      <c r="D25" s="2">
        <f t="shared" si="4"/>
        <v>73.659999999999968</v>
      </c>
      <c r="E25" s="2">
        <v>610</v>
      </c>
      <c r="F25" s="2">
        <f t="shared" si="5"/>
        <v>536.34</v>
      </c>
      <c r="G25" s="2">
        <f>K25+0.4</f>
        <v>12.77</v>
      </c>
      <c r="H25" s="2">
        <v>10.77</v>
      </c>
      <c r="I25" s="8">
        <v>11.58</v>
      </c>
      <c r="J25" s="8">
        <v>12.06</v>
      </c>
      <c r="K25" s="2">
        <v>12.37</v>
      </c>
      <c r="L25" s="2">
        <f t="shared" si="6"/>
        <v>14.58334</v>
      </c>
    </row>
    <row r="26" spans="1:12" ht="21" customHeight="1">
      <c r="A26" s="2" t="s">
        <v>32</v>
      </c>
      <c r="B26" s="4" t="s">
        <v>109</v>
      </c>
      <c r="C26" s="3">
        <v>20</v>
      </c>
      <c r="D26" s="2">
        <f t="shared" si="4"/>
        <v>153.01999999999998</v>
      </c>
      <c r="E26" s="2">
        <v>1190</v>
      </c>
      <c r="F26" s="2">
        <f t="shared" si="5"/>
        <v>1036.98</v>
      </c>
      <c r="G26" s="2">
        <f t="shared" ref="G26:G29" si="7">K26+0.4</f>
        <v>24.689999999999998</v>
      </c>
      <c r="H26" s="2">
        <v>21.52</v>
      </c>
      <c r="I26" s="8">
        <v>23.87</v>
      </c>
      <c r="J26" s="8">
        <v>24.12</v>
      </c>
      <c r="K26" s="2">
        <v>24.29</v>
      </c>
      <c r="L26" s="2">
        <f t="shared" si="6"/>
        <v>28.195979999999999</v>
      </c>
    </row>
    <row r="27" spans="1:12" ht="21" customHeight="1">
      <c r="A27" s="2" t="s">
        <v>32</v>
      </c>
      <c r="B27" s="4" t="s">
        <v>111</v>
      </c>
      <c r="C27" s="3">
        <v>50</v>
      </c>
      <c r="D27" s="2">
        <f t="shared" si="4"/>
        <v>365.05999999999995</v>
      </c>
      <c r="E27" s="2">
        <v>2930</v>
      </c>
      <c r="F27" s="2">
        <f t="shared" si="5"/>
        <v>2564.94</v>
      </c>
      <c r="G27" s="2">
        <f t="shared" si="7"/>
        <v>61.07</v>
      </c>
      <c r="H27" s="2">
        <v>53.81</v>
      </c>
      <c r="I27" s="8">
        <v>57.93</v>
      </c>
      <c r="J27" s="2">
        <v>60.3</v>
      </c>
      <c r="K27" s="2">
        <v>60.67</v>
      </c>
      <c r="L27" s="2">
        <f t="shared" si="6"/>
        <v>69.74194</v>
      </c>
    </row>
    <row r="28" spans="1:12" ht="21" customHeight="1">
      <c r="A28" s="2" t="s">
        <v>32</v>
      </c>
      <c r="B28" s="4" t="s">
        <v>113</v>
      </c>
      <c r="C28" s="3">
        <v>60</v>
      </c>
      <c r="D28" s="2">
        <f t="shared" si="4"/>
        <v>440.05999999999949</v>
      </c>
      <c r="E28" s="2">
        <v>3530</v>
      </c>
      <c r="F28" s="2">
        <f t="shared" si="5"/>
        <v>3089.9400000000005</v>
      </c>
      <c r="G28" s="2">
        <f t="shared" si="7"/>
        <v>73.570000000000007</v>
      </c>
      <c r="I28" s="9"/>
      <c r="J28" s="8">
        <v>72.41</v>
      </c>
      <c r="K28" s="2">
        <v>73.17</v>
      </c>
      <c r="L28" s="2">
        <f t="shared" si="6"/>
        <v>84.016940000000005</v>
      </c>
    </row>
    <row r="29" spans="1:12" ht="21" customHeight="1">
      <c r="A29" s="2" t="s">
        <v>32</v>
      </c>
      <c r="B29" s="4" t="s">
        <v>115</v>
      </c>
      <c r="C29" s="3">
        <v>100</v>
      </c>
      <c r="D29" s="2">
        <f t="shared" si="4"/>
        <v>720.85999999999967</v>
      </c>
      <c r="E29" s="2">
        <v>5810</v>
      </c>
      <c r="F29" s="2">
        <f t="shared" si="5"/>
        <v>5089.1400000000003</v>
      </c>
      <c r="G29" s="2">
        <f t="shared" si="7"/>
        <v>121.17</v>
      </c>
      <c r="H29" s="2">
        <v>107.63</v>
      </c>
      <c r="I29" s="8">
        <v>111.18</v>
      </c>
      <c r="J29" s="8">
        <v>120.59</v>
      </c>
      <c r="K29" s="2">
        <v>120.77</v>
      </c>
      <c r="L29" s="2">
        <f t="shared" si="6"/>
        <v>138.37613999999999</v>
      </c>
    </row>
    <row r="30" spans="1:12" ht="21" customHeight="1">
      <c r="D30" s="2">
        <f t="shared" si="4"/>
        <v>0</v>
      </c>
      <c r="F30" s="2">
        <f t="shared" si="5"/>
        <v>0</v>
      </c>
      <c r="L30" s="2">
        <f t="shared" si="6"/>
        <v>0</v>
      </c>
    </row>
    <row r="31" spans="1:12" ht="21" customHeight="1">
      <c r="A31" s="2" t="s">
        <v>267</v>
      </c>
      <c r="B31" s="4" t="s">
        <v>268</v>
      </c>
      <c r="C31" s="2" t="s">
        <v>6</v>
      </c>
      <c r="D31" s="2">
        <f t="shared" si="4"/>
        <v>-254.51999999999998</v>
      </c>
      <c r="F31" s="2">
        <f t="shared" si="5"/>
        <v>254.51999999999998</v>
      </c>
      <c r="G31" s="2">
        <v>6.06</v>
      </c>
      <c r="H31" s="2" t="s">
        <v>269</v>
      </c>
      <c r="I31" s="2" t="s">
        <v>269</v>
      </c>
      <c r="J31" s="2">
        <v>5.16</v>
      </c>
      <c r="K31" s="2" t="s">
        <v>269</v>
      </c>
      <c r="L31" s="2">
        <f t="shared" si="6"/>
        <v>6.9205199999999998</v>
      </c>
    </row>
    <row r="32" spans="1:12" ht="21" customHeight="1">
      <c r="A32" s="2" t="s">
        <v>267</v>
      </c>
      <c r="B32" s="4" t="s">
        <v>270</v>
      </c>
      <c r="C32" s="2" t="s">
        <v>10</v>
      </c>
      <c r="D32" s="2">
        <f t="shared" si="4"/>
        <v>55.06</v>
      </c>
      <c r="E32" s="2">
        <v>520</v>
      </c>
      <c r="F32" s="2">
        <f t="shared" si="5"/>
        <v>464.94</v>
      </c>
      <c r="G32" s="2">
        <v>11.07</v>
      </c>
      <c r="H32" s="2">
        <v>9.6999999999999993</v>
      </c>
      <c r="I32" s="2">
        <v>10</v>
      </c>
      <c r="J32" s="2">
        <v>10.07</v>
      </c>
      <c r="K32" s="2">
        <v>9.5</v>
      </c>
      <c r="L32" s="2">
        <f t="shared" si="6"/>
        <v>12.64194</v>
      </c>
    </row>
    <row r="33" spans="1:16" ht="21" customHeight="1">
      <c r="A33" s="2" t="s">
        <v>267</v>
      </c>
      <c r="B33" s="4" t="s">
        <v>271</v>
      </c>
      <c r="C33" s="2" t="s">
        <v>14</v>
      </c>
      <c r="D33" s="2">
        <f t="shared" si="4"/>
        <v>116.32000000000005</v>
      </c>
      <c r="E33" s="2">
        <v>1000</v>
      </c>
      <c r="F33" s="2">
        <f t="shared" si="5"/>
        <v>883.68</v>
      </c>
      <c r="G33" s="2">
        <v>21.04</v>
      </c>
      <c r="H33" s="2">
        <v>19.399999999999999</v>
      </c>
      <c r="I33" s="2">
        <v>20</v>
      </c>
      <c r="J33" s="2">
        <v>20.14</v>
      </c>
      <c r="K33" s="2">
        <v>19</v>
      </c>
      <c r="L33" s="2">
        <f t="shared" si="6"/>
        <v>24.02768</v>
      </c>
    </row>
    <row r="34" spans="1:16" ht="21" customHeight="1">
      <c r="A34" s="2" t="s">
        <v>267</v>
      </c>
      <c r="B34" s="4" t="s">
        <v>274</v>
      </c>
      <c r="C34" s="2" t="s">
        <v>272</v>
      </c>
      <c r="D34" s="2">
        <f t="shared" si="4"/>
        <v>237.91999999999985</v>
      </c>
      <c r="E34" s="2">
        <v>1970</v>
      </c>
      <c r="F34" s="2">
        <f t="shared" si="5"/>
        <v>1732.0800000000002</v>
      </c>
      <c r="G34" s="2">
        <v>41.24</v>
      </c>
      <c r="H34" s="2">
        <v>38.799999999999997</v>
      </c>
      <c r="I34" s="2">
        <v>40</v>
      </c>
      <c r="J34" s="2">
        <v>40.340000000000003</v>
      </c>
      <c r="L34" s="2">
        <f t="shared" si="6"/>
        <v>47.096080000000001</v>
      </c>
    </row>
    <row r="35" spans="1:16" ht="21" customHeight="1">
      <c r="A35" s="2" t="s">
        <v>267</v>
      </c>
      <c r="B35" s="4" t="s">
        <v>275</v>
      </c>
      <c r="C35" s="2" t="s">
        <v>17</v>
      </c>
      <c r="D35" s="2">
        <f t="shared" si="4"/>
        <v>294.13999999999987</v>
      </c>
      <c r="E35" s="2">
        <v>2450</v>
      </c>
      <c r="F35" s="2">
        <f t="shared" si="5"/>
        <v>2155.86</v>
      </c>
      <c r="G35" s="2">
        <v>51.33</v>
      </c>
      <c r="H35" s="2">
        <v>48.5</v>
      </c>
      <c r="I35" s="2">
        <v>50</v>
      </c>
      <c r="J35" s="2">
        <v>50.43</v>
      </c>
      <c r="K35" s="2">
        <v>47.5</v>
      </c>
      <c r="L35" s="2">
        <f t="shared" si="6"/>
        <v>58.618859999999998</v>
      </c>
    </row>
    <row r="36" spans="1:16" ht="21" customHeight="1">
      <c r="A36" s="2" t="s">
        <v>267</v>
      </c>
      <c r="B36" s="4" t="s">
        <v>276</v>
      </c>
      <c r="C36" s="2" t="s">
        <v>273</v>
      </c>
      <c r="D36" s="2">
        <f t="shared" si="4"/>
        <v>416.57999999999993</v>
      </c>
      <c r="E36" s="2">
        <v>3420</v>
      </c>
      <c r="F36" s="2">
        <f t="shared" si="5"/>
        <v>3003.42</v>
      </c>
      <c r="G36" s="2">
        <v>71.510000000000005</v>
      </c>
      <c r="H36" s="2">
        <v>67.900000000000006</v>
      </c>
      <c r="I36" s="2">
        <v>70</v>
      </c>
      <c r="J36" s="2">
        <v>70.61</v>
      </c>
      <c r="L36" s="2">
        <f t="shared" si="6"/>
        <v>81.664420000000007</v>
      </c>
    </row>
    <row r="37" spans="1:16" ht="21" customHeight="1">
      <c r="A37" s="2" t="s">
        <v>267</v>
      </c>
      <c r="B37" s="4" t="s">
        <v>277</v>
      </c>
      <c r="C37" s="2" t="s">
        <v>20</v>
      </c>
      <c r="D37" s="2">
        <f t="shared" si="4"/>
        <v>595.23999999999978</v>
      </c>
      <c r="E37" s="2">
        <v>4870</v>
      </c>
      <c r="F37" s="2">
        <f t="shared" si="5"/>
        <v>4274.76</v>
      </c>
      <c r="G37" s="2">
        <v>101.78</v>
      </c>
      <c r="H37" s="2">
        <v>97</v>
      </c>
      <c r="I37" s="2">
        <v>100</v>
      </c>
      <c r="J37" s="2">
        <v>100.88</v>
      </c>
      <c r="K37" s="2">
        <v>95</v>
      </c>
      <c r="L37" s="2">
        <f t="shared" si="6"/>
        <v>116.23276</v>
      </c>
    </row>
    <row r="38" spans="1:16" ht="21" customHeight="1">
      <c r="D38" s="2">
        <f t="shared" si="4"/>
        <v>0</v>
      </c>
      <c r="F38" s="2">
        <f t="shared" si="5"/>
        <v>0</v>
      </c>
      <c r="L38" s="2">
        <f t="shared" si="6"/>
        <v>0</v>
      </c>
    </row>
    <row r="39" spans="1:16" ht="21" customHeight="1">
      <c r="A39" s="2" t="s">
        <v>279</v>
      </c>
      <c r="B39" s="4" t="s">
        <v>280</v>
      </c>
      <c r="C39" s="2" t="s">
        <v>285</v>
      </c>
      <c r="D39" s="2">
        <f t="shared" si="4"/>
        <v>60.559999999999945</v>
      </c>
      <c r="E39" s="2">
        <v>620</v>
      </c>
      <c r="F39" s="2">
        <f t="shared" si="5"/>
        <v>559.44000000000005</v>
      </c>
      <c r="G39" s="2">
        <v>13.32</v>
      </c>
      <c r="H39" s="2">
        <v>11.39</v>
      </c>
      <c r="I39" s="2">
        <v>12.2</v>
      </c>
      <c r="J39" s="2">
        <v>12.42</v>
      </c>
      <c r="K39" s="2">
        <v>12.34</v>
      </c>
      <c r="L39" s="2">
        <f t="shared" si="6"/>
        <v>15.21144</v>
      </c>
    </row>
    <row r="40" spans="1:16" ht="21" customHeight="1">
      <c r="A40" s="2" t="s">
        <v>279</v>
      </c>
      <c r="B40" s="4" t="s">
        <v>281</v>
      </c>
      <c r="C40" s="10" t="s">
        <v>286</v>
      </c>
      <c r="D40" s="2">
        <f t="shared" si="4"/>
        <v>143.88000000000011</v>
      </c>
      <c r="E40" s="2">
        <v>1230</v>
      </c>
      <c r="F40" s="2">
        <f t="shared" si="5"/>
        <v>1086.1199999999999</v>
      </c>
      <c r="G40" s="2">
        <v>25.86</v>
      </c>
      <c r="H40" s="2">
        <v>22.79</v>
      </c>
      <c r="I40" s="2">
        <v>24.32</v>
      </c>
      <c r="J40" s="2">
        <v>24.96</v>
      </c>
      <c r="K40" s="2">
        <v>24.68</v>
      </c>
      <c r="L40" s="2">
        <f t="shared" si="6"/>
        <v>29.532119999999999</v>
      </c>
    </row>
    <row r="41" spans="1:16" ht="21" customHeight="1">
      <c r="A41" s="2" t="s">
        <v>279</v>
      </c>
      <c r="B41" s="4" t="s">
        <v>282</v>
      </c>
      <c r="C41" s="10" t="s">
        <v>287</v>
      </c>
      <c r="D41" s="2">
        <f t="shared" si="4"/>
        <v>215.20000000000005</v>
      </c>
      <c r="E41" s="2">
        <v>1870</v>
      </c>
      <c r="F41" s="2">
        <f t="shared" si="5"/>
        <v>1654.8</v>
      </c>
      <c r="G41" s="2">
        <v>39.4</v>
      </c>
      <c r="H41" s="2">
        <v>34.19</v>
      </c>
      <c r="I41" s="2">
        <v>38</v>
      </c>
      <c r="J41" s="2">
        <v>37.479999999999997</v>
      </c>
      <c r="K41" s="2">
        <v>37.020000000000003</v>
      </c>
      <c r="L41" s="2">
        <f t="shared" si="6"/>
        <v>44.994799999999998</v>
      </c>
    </row>
    <row r="42" spans="1:16" ht="21" customHeight="1">
      <c r="A42" s="2" t="s">
        <v>279</v>
      </c>
      <c r="B42" s="4" t="s">
        <v>283</v>
      </c>
      <c r="C42" s="2" t="s">
        <v>288</v>
      </c>
      <c r="D42" s="2">
        <f t="shared" si="4"/>
        <v>296.52</v>
      </c>
      <c r="E42" s="2">
        <v>2520</v>
      </c>
      <c r="F42" s="2">
        <f t="shared" si="5"/>
        <v>2223.48</v>
      </c>
      <c r="G42" s="2">
        <v>52.94</v>
      </c>
      <c r="H42" s="2">
        <v>45.59</v>
      </c>
      <c r="I42" s="2">
        <v>51.84</v>
      </c>
      <c r="J42" s="2">
        <v>49.99</v>
      </c>
      <c r="K42" s="2">
        <v>49.33</v>
      </c>
      <c r="L42" s="2">
        <f t="shared" si="6"/>
        <v>60.457479999999997</v>
      </c>
    </row>
    <row r="43" spans="1:16" ht="21" customHeight="1">
      <c r="A43" s="2" t="s">
        <v>279</v>
      </c>
      <c r="B43" s="4" t="s">
        <v>284</v>
      </c>
      <c r="C43" s="2" t="s">
        <v>289</v>
      </c>
      <c r="D43" s="2">
        <f t="shared" si="4"/>
        <v>328.38000000000011</v>
      </c>
      <c r="E43" s="2">
        <v>3000</v>
      </c>
      <c r="F43" s="2">
        <f t="shared" si="5"/>
        <v>2671.62</v>
      </c>
      <c r="G43" s="2">
        <v>63.61</v>
      </c>
      <c r="H43" s="2">
        <v>56.99</v>
      </c>
      <c r="I43" s="2">
        <v>60</v>
      </c>
      <c r="J43" s="2">
        <v>62.51</v>
      </c>
      <c r="K43" s="2">
        <v>61.66</v>
      </c>
      <c r="L43" s="2">
        <f t="shared" si="6"/>
        <v>72.642619999999994</v>
      </c>
    </row>
    <row r="44" spans="1:16" ht="21" customHeight="1">
      <c r="A44" s="2" t="s">
        <v>279</v>
      </c>
      <c r="B44" s="4" t="s">
        <v>351</v>
      </c>
      <c r="C44" s="2" t="s">
        <v>290</v>
      </c>
      <c r="D44" s="2">
        <f t="shared" si="4"/>
        <v>596.22000000000025</v>
      </c>
      <c r="E44" s="2">
        <v>4800</v>
      </c>
      <c r="F44" s="2">
        <f t="shared" si="5"/>
        <v>4203.78</v>
      </c>
      <c r="G44" s="2">
        <v>100.09</v>
      </c>
      <c r="I44" s="2">
        <v>98.79</v>
      </c>
      <c r="K44" s="2">
        <v>98.65</v>
      </c>
      <c r="L44" s="2">
        <f t="shared" si="6"/>
        <v>114.30278</v>
      </c>
    </row>
    <row r="45" spans="1:16" ht="21" customHeight="1">
      <c r="D45" s="2">
        <f t="shared" si="4"/>
        <v>0</v>
      </c>
      <c r="F45" s="2">
        <f t="shared" si="5"/>
        <v>0</v>
      </c>
      <c r="L45" s="2">
        <f t="shared" si="6"/>
        <v>0</v>
      </c>
    </row>
    <row r="46" spans="1:16" ht="21" customHeight="1">
      <c r="A46" s="2" t="s">
        <v>303</v>
      </c>
      <c r="B46" s="4" t="s">
        <v>302</v>
      </c>
      <c r="C46" s="11" t="s">
        <v>10</v>
      </c>
      <c r="D46" s="2">
        <f t="shared" si="4"/>
        <v>60</v>
      </c>
      <c r="E46" s="2">
        <v>480</v>
      </c>
      <c r="F46" s="2">
        <f t="shared" si="5"/>
        <v>420</v>
      </c>
      <c r="G46" s="2">
        <v>10</v>
      </c>
      <c r="H46" s="2">
        <v>9.1999999999999993</v>
      </c>
      <c r="I46" s="2">
        <v>9.31</v>
      </c>
      <c r="J46" s="2">
        <v>9.99</v>
      </c>
      <c r="K46" s="2">
        <v>8.85</v>
      </c>
      <c r="L46" s="2">
        <f t="shared" si="6"/>
        <v>11.42</v>
      </c>
      <c r="M46"/>
      <c r="N46"/>
      <c r="P46"/>
    </row>
    <row r="47" spans="1:16" ht="21" customHeight="1">
      <c r="A47" s="2" t="s">
        <v>303</v>
      </c>
      <c r="B47" s="4" t="s">
        <v>302</v>
      </c>
      <c r="C47" s="11" t="s">
        <v>14</v>
      </c>
      <c r="D47" s="2">
        <f t="shared" si="4"/>
        <v>120</v>
      </c>
      <c r="E47" s="2">
        <v>960</v>
      </c>
      <c r="F47" s="2">
        <f t="shared" si="5"/>
        <v>840</v>
      </c>
      <c r="G47" s="2">
        <v>20</v>
      </c>
      <c r="H47" s="2">
        <v>18.41</v>
      </c>
      <c r="I47" s="2">
        <v>18.649999999999999</v>
      </c>
      <c r="J47" s="2">
        <v>19.989999999999998</v>
      </c>
      <c r="K47" s="2">
        <v>17.8</v>
      </c>
      <c r="L47" s="2">
        <f t="shared" si="6"/>
        <v>22.84</v>
      </c>
      <c r="M47"/>
      <c r="N47"/>
      <c r="P47"/>
    </row>
    <row r="48" spans="1:16" ht="21" customHeight="1">
      <c r="A48" s="2" t="s">
        <v>303</v>
      </c>
      <c r="B48" s="4" t="s">
        <v>302</v>
      </c>
      <c r="C48" s="11" t="s">
        <v>304</v>
      </c>
      <c r="D48" s="2">
        <f t="shared" si="4"/>
        <v>210</v>
      </c>
      <c r="E48" s="2">
        <v>1680</v>
      </c>
      <c r="F48" s="2">
        <f t="shared" si="5"/>
        <v>1470</v>
      </c>
      <c r="G48" s="2">
        <v>35</v>
      </c>
      <c r="H48" s="2">
        <v>32.22</v>
      </c>
      <c r="I48" s="2">
        <v>32.6</v>
      </c>
      <c r="J48" s="2">
        <v>35</v>
      </c>
      <c r="K48" s="2">
        <v>31.15</v>
      </c>
      <c r="L48" s="2">
        <f t="shared" si="6"/>
        <v>39.97</v>
      </c>
      <c r="M48"/>
      <c r="N48"/>
      <c r="P48"/>
    </row>
    <row r="49" spans="1:16" ht="21" customHeight="1">
      <c r="A49" s="2" t="s">
        <v>303</v>
      </c>
      <c r="B49" s="4" t="s">
        <v>302</v>
      </c>
      <c r="C49" s="11" t="s">
        <v>17</v>
      </c>
      <c r="D49" s="2">
        <f t="shared" si="4"/>
        <v>150</v>
      </c>
      <c r="E49" s="2">
        <v>2250</v>
      </c>
      <c r="F49" s="2">
        <f t="shared" si="5"/>
        <v>2100</v>
      </c>
      <c r="G49" s="2">
        <v>50</v>
      </c>
      <c r="H49" s="2">
        <v>46.03</v>
      </c>
      <c r="I49" s="2">
        <v>46.45</v>
      </c>
      <c r="J49" s="2">
        <v>49.99</v>
      </c>
      <c r="K49" s="2">
        <v>44.5</v>
      </c>
      <c r="L49" s="2">
        <f t="shared" si="6"/>
        <v>57.1</v>
      </c>
      <c r="M49"/>
      <c r="N49"/>
      <c r="P49"/>
    </row>
    <row r="50" spans="1:16" ht="21" customHeight="1">
      <c r="C50" s="11"/>
      <c r="D50" s="2">
        <f t="shared" si="4"/>
        <v>0</v>
      </c>
      <c r="F50" s="2">
        <f t="shared" si="5"/>
        <v>0</v>
      </c>
      <c r="L50" s="2">
        <f t="shared" si="6"/>
        <v>0</v>
      </c>
      <c r="M50"/>
      <c r="N50"/>
      <c r="P50"/>
    </row>
    <row r="51" spans="1:16" ht="21" customHeight="1">
      <c r="A51" s="2" t="s">
        <v>33</v>
      </c>
      <c r="B51" s="4" t="s">
        <v>302</v>
      </c>
      <c r="C51" s="11" t="s">
        <v>216</v>
      </c>
      <c r="D51" s="2">
        <f t="shared" si="4"/>
        <v>100.72000000000003</v>
      </c>
      <c r="E51" s="2">
        <v>850</v>
      </c>
      <c r="F51" s="2">
        <f t="shared" si="5"/>
        <v>749.28</v>
      </c>
      <c r="G51" s="2">
        <v>17.84</v>
      </c>
      <c r="H51" s="2">
        <v>16.399999999999999</v>
      </c>
      <c r="I51" s="2">
        <v>16.760000000000002</v>
      </c>
      <c r="J51" s="2">
        <v>17.34</v>
      </c>
      <c r="K51" s="2">
        <v>0</v>
      </c>
      <c r="L51" s="2">
        <f t="shared" si="6"/>
        <v>20.373280000000001</v>
      </c>
      <c r="M51"/>
      <c r="N51"/>
      <c r="P51"/>
    </row>
    <row r="52" spans="1:16" ht="21" customHeight="1">
      <c r="A52" s="2" t="s">
        <v>33</v>
      </c>
      <c r="B52" s="4" t="s">
        <v>302</v>
      </c>
      <c r="C52" s="11" t="s">
        <v>80</v>
      </c>
      <c r="D52" s="2">
        <f t="shared" si="4"/>
        <v>184.77999999999997</v>
      </c>
      <c r="E52" s="2">
        <v>1420</v>
      </c>
      <c r="F52" s="2">
        <f t="shared" si="5"/>
        <v>1235.22</v>
      </c>
      <c r="G52" s="2">
        <v>29.41</v>
      </c>
      <c r="H52" s="2">
        <v>27.33</v>
      </c>
      <c r="I52" s="2">
        <v>27.93</v>
      </c>
      <c r="J52" s="2">
        <v>28.91</v>
      </c>
      <c r="K52" s="2">
        <v>0</v>
      </c>
      <c r="L52" s="2">
        <f t="shared" si="6"/>
        <v>33.586219999999997</v>
      </c>
      <c r="M52"/>
      <c r="N52"/>
      <c r="P52"/>
    </row>
    <row r="53" spans="1:16" ht="21" customHeight="1">
      <c r="A53" s="2" t="s">
        <v>33</v>
      </c>
      <c r="B53" s="4" t="s">
        <v>302</v>
      </c>
      <c r="C53" s="11" t="s">
        <v>17</v>
      </c>
      <c r="D53" s="2">
        <f t="shared" si="4"/>
        <v>350.55999999999995</v>
      </c>
      <c r="E53" s="2">
        <v>2800</v>
      </c>
      <c r="F53" s="2">
        <f t="shared" si="5"/>
        <v>2449.44</v>
      </c>
      <c r="G53" s="2">
        <v>58.32</v>
      </c>
      <c r="H53" s="2">
        <v>54.67</v>
      </c>
      <c r="I53" s="2">
        <v>55.86</v>
      </c>
      <c r="J53" s="2">
        <v>57.82</v>
      </c>
      <c r="K53" s="2">
        <v>0</v>
      </c>
      <c r="L53" s="2">
        <f t="shared" si="6"/>
        <v>66.601439999999997</v>
      </c>
      <c r="M53"/>
      <c r="N53"/>
      <c r="P53"/>
    </row>
    <row r="54" spans="1:16" ht="21" customHeight="1">
      <c r="C54" s="11"/>
      <c r="D54" s="2">
        <f t="shared" si="4"/>
        <v>0</v>
      </c>
      <c r="F54" s="2">
        <f t="shared" si="5"/>
        <v>0</v>
      </c>
      <c r="L54" s="2">
        <f t="shared" si="6"/>
        <v>0</v>
      </c>
      <c r="M54"/>
      <c r="N54"/>
      <c r="P54"/>
    </row>
    <row r="55" spans="1:16" ht="21" customHeight="1">
      <c r="A55" s="2" t="s">
        <v>32</v>
      </c>
      <c r="B55" s="4" t="s">
        <v>302</v>
      </c>
      <c r="C55" s="11" t="s">
        <v>216</v>
      </c>
      <c r="D55" s="2">
        <f t="shared" si="4"/>
        <v>111.57999999999993</v>
      </c>
      <c r="E55" s="2">
        <v>910</v>
      </c>
      <c r="F55" s="2">
        <f t="shared" si="5"/>
        <v>798.42000000000007</v>
      </c>
      <c r="G55" s="2">
        <v>19.010000000000002</v>
      </c>
      <c r="H55" s="2">
        <v>17.38</v>
      </c>
      <c r="I55" s="2">
        <v>17.510000000000002</v>
      </c>
      <c r="J55" s="2">
        <v>17.34</v>
      </c>
      <c r="L55" s="2">
        <f t="shared" si="6"/>
        <v>21.709420000000001</v>
      </c>
      <c r="M55"/>
      <c r="N55"/>
      <c r="P55"/>
    </row>
    <row r="56" spans="1:16" ht="21" customHeight="1">
      <c r="A56" s="2" t="s">
        <v>32</v>
      </c>
      <c r="B56" s="4" t="s">
        <v>302</v>
      </c>
      <c r="C56" s="11" t="s">
        <v>80</v>
      </c>
      <c r="D56" s="2">
        <f t="shared" si="4"/>
        <v>181.01999999999998</v>
      </c>
      <c r="E56" s="2">
        <v>1470</v>
      </c>
      <c r="F56" s="2">
        <f t="shared" si="5"/>
        <v>1288.98</v>
      </c>
      <c r="G56" s="2">
        <v>30.69</v>
      </c>
      <c r="H56" s="2">
        <v>28.97</v>
      </c>
      <c r="I56" s="2">
        <v>29.19</v>
      </c>
      <c r="J56" s="2">
        <v>28.91</v>
      </c>
      <c r="L56" s="2">
        <f t="shared" si="6"/>
        <v>35.047980000000003</v>
      </c>
      <c r="M56"/>
      <c r="N56"/>
      <c r="P56"/>
    </row>
    <row r="57" spans="1:16" ht="21" customHeight="1">
      <c r="A57" s="2" t="s">
        <v>32</v>
      </c>
      <c r="B57" s="4" t="s">
        <v>302</v>
      </c>
      <c r="C57" s="11" t="s">
        <v>17</v>
      </c>
      <c r="D57" s="2">
        <f t="shared" si="4"/>
        <v>355.03999999999996</v>
      </c>
      <c r="E57" s="2">
        <v>2870</v>
      </c>
      <c r="F57" s="2">
        <f t="shared" si="5"/>
        <v>2514.96</v>
      </c>
      <c r="G57" s="2">
        <v>59.88</v>
      </c>
      <c r="H57" s="2">
        <v>57.94</v>
      </c>
      <c r="I57" s="2">
        <v>58.38</v>
      </c>
      <c r="J57" s="2">
        <v>57.82</v>
      </c>
      <c r="L57" s="2">
        <f t="shared" si="6"/>
        <v>68.382959999999997</v>
      </c>
      <c r="M57"/>
      <c r="N57"/>
      <c r="P57"/>
    </row>
    <row r="58" spans="1:16" ht="21" customHeight="1">
      <c r="A58" s="2" t="s">
        <v>32</v>
      </c>
      <c r="B58" s="4" t="s">
        <v>302</v>
      </c>
      <c r="C58" s="3" t="s">
        <v>236</v>
      </c>
      <c r="D58" s="2">
        <f t="shared" si="4"/>
        <v>516.36000000000013</v>
      </c>
      <c r="E58" s="2">
        <v>4230</v>
      </c>
      <c r="F58" s="2">
        <f t="shared" si="5"/>
        <v>3713.64</v>
      </c>
      <c r="G58" s="2">
        <v>88.42</v>
      </c>
      <c r="H58" s="2">
        <v>86.92</v>
      </c>
      <c r="J58" s="2">
        <v>86.76</v>
      </c>
      <c r="L58" s="2">
        <f t="shared" si="6"/>
        <v>100.97564</v>
      </c>
      <c r="M58"/>
      <c r="N58"/>
      <c r="P58"/>
    </row>
    <row r="59" spans="1:16" ht="21" customHeight="1">
      <c r="C59" s="3"/>
      <c r="D59" s="2">
        <f t="shared" si="4"/>
        <v>0</v>
      </c>
      <c r="F59" s="2">
        <f t="shared" si="5"/>
        <v>0</v>
      </c>
      <c r="L59" s="2">
        <f t="shared" si="6"/>
        <v>0</v>
      </c>
      <c r="M59"/>
      <c r="N59"/>
      <c r="P59"/>
    </row>
    <row r="60" spans="1:16" ht="21" customHeight="1">
      <c r="D60" s="2">
        <f t="shared" si="4"/>
        <v>0</v>
      </c>
      <c r="F60" s="2">
        <f t="shared" si="5"/>
        <v>0</v>
      </c>
      <c r="L60" s="2">
        <f t="shared" si="6"/>
        <v>0</v>
      </c>
    </row>
    <row r="61" spans="1:16" ht="21" customHeight="1">
      <c r="A61" s="1" t="s">
        <v>78</v>
      </c>
      <c r="B61" s="4" t="s">
        <v>421</v>
      </c>
      <c r="C61" s="1" t="s">
        <v>6</v>
      </c>
      <c r="D61" s="2">
        <f t="shared" ref="D61" si="8">E61-F61</f>
        <v>30</v>
      </c>
      <c r="E61" s="2">
        <v>240</v>
      </c>
      <c r="F61" s="2">
        <f t="shared" si="5"/>
        <v>210</v>
      </c>
      <c r="G61" s="2">
        <v>5</v>
      </c>
      <c r="H61" s="2">
        <v>4.78</v>
      </c>
      <c r="I61" s="2">
        <v>4.9000000000000004</v>
      </c>
      <c r="L61" s="2">
        <f t="shared" si="6"/>
        <v>5.71</v>
      </c>
    </row>
    <row r="62" spans="1:16" ht="21" customHeight="1">
      <c r="A62" s="1" t="s">
        <v>78</v>
      </c>
      <c r="B62" s="4" t="s">
        <v>220</v>
      </c>
      <c r="C62" s="1" t="s">
        <v>10</v>
      </c>
      <c r="D62" s="2">
        <f t="shared" si="4"/>
        <v>60</v>
      </c>
      <c r="E62" s="1">
        <v>480</v>
      </c>
      <c r="F62" s="2">
        <f t="shared" si="5"/>
        <v>420</v>
      </c>
      <c r="G62" s="2">
        <v>10</v>
      </c>
      <c r="H62" s="1">
        <v>9.31</v>
      </c>
      <c r="I62" s="1">
        <v>9.1999999999999993</v>
      </c>
      <c r="J62" s="1"/>
      <c r="K62" s="1"/>
      <c r="L62" s="2">
        <f t="shared" si="6"/>
        <v>11.42</v>
      </c>
      <c r="M62" s="1"/>
      <c r="N62"/>
    </row>
    <row r="63" spans="1:16" ht="21" customHeight="1">
      <c r="A63" s="1" t="s">
        <v>78</v>
      </c>
      <c r="B63" s="4" t="s">
        <v>222</v>
      </c>
      <c r="C63" s="1" t="s">
        <v>14</v>
      </c>
      <c r="D63" s="2">
        <f t="shared" si="4"/>
        <v>120</v>
      </c>
      <c r="E63" s="2">
        <v>960</v>
      </c>
      <c r="F63" s="2">
        <f t="shared" si="5"/>
        <v>840</v>
      </c>
      <c r="G63" s="2">
        <v>20</v>
      </c>
      <c r="H63" s="2">
        <v>18.62</v>
      </c>
      <c r="I63" s="1">
        <v>19</v>
      </c>
      <c r="J63" s="1"/>
      <c r="L63" s="2">
        <f t="shared" si="6"/>
        <v>22.84</v>
      </c>
      <c r="N63"/>
    </row>
    <row r="64" spans="1:16" ht="21" customHeight="1">
      <c r="A64" s="1" t="s">
        <v>78</v>
      </c>
      <c r="B64" s="4" t="s">
        <v>224</v>
      </c>
      <c r="C64" s="1" t="s">
        <v>17</v>
      </c>
      <c r="D64" s="2">
        <f t="shared" si="4"/>
        <v>300</v>
      </c>
      <c r="E64" s="2">
        <v>2400</v>
      </c>
      <c r="F64" s="2">
        <f t="shared" si="5"/>
        <v>2100</v>
      </c>
      <c r="G64" s="2">
        <v>50</v>
      </c>
      <c r="H64" s="2">
        <v>46.55</v>
      </c>
      <c r="I64" s="1">
        <v>46</v>
      </c>
      <c r="J64" s="1"/>
      <c r="L64" s="2">
        <f t="shared" si="6"/>
        <v>57.1</v>
      </c>
      <c r="N64"/>
    </row>
    <row r="65" spans="1:14" ht="21" customHeight="1">
      <c r="A65" s="1" t="s">
        <v>78</v>
      </c>
      <c r="B65" s="4" t="s">
        <v>225</v>
      </c>
      <c r="C65" s="1" t="s">
        <v>20</v>
      </c>
      <c r="D65" s="2">
        <f t="shared" si="4"/>
        <v>600</v>
      </c>
      <c r="E65" s="2">
        <v>4800</v>
      </c>
      <c r="F65" s="2">
        <f t="shared" si="5"/>
        <v>4200</v>
      </c>
      <c r="G65" s="2">
        <v>100</v>
      </c>
      <c r="H65" s="2">
        <v>93.1</v>
      </c>
      <c r="I65" s="1">
        <v>92</v>
      </c>
      <c r="J65" s="1"/>
      <c r="L65" s="2">
        <f t="shared" si="6"/>
        <v>114.2</v>
      </c>
      <c r="N65"/>
    </row>
    <row r="66" spans="1:14" ht="21" customHeight="1">
      <c r="A66" s="1"/>
      <c r="C66" s="1"/>
      <c r="D66" s="2">
        <f t="shared" si="4"/>
        <v>0</v>
      </c>
      <c r="F66" s="2">
        <f t="shared" si="5"/>
        <v>0</v>
      </c>
      <c r="I66" s="1"/>
      <c r="J66" s="1"/>
      <c r="L66" s="2">
        <f t="shared" si="6"/>
        <v>0</v>
      </c>
      <c r="N66"/>
    </row>
    <row r="67" spans="1:14" ht="21" customHeight="1">
      <c r="A67" s="2" t="s">
        <v>219</v>
      </c>
      <c r="B67" s="4" t="s">
        <v>226</v>
      </c>
      <c r="C67" s="2" t="s">
        <v>216</v>
      </c>
      <c r="D67" s="2">
        <f t="shared" si="4"/>
        <v>90</v>
      </c>
      <c r="E67" s="2">
        <v>720</v>
      </c>
      <c r="F67" s="2">
        <f t="shared" si="5"/>
        <v>630</v>
      </c>
      <c r="G67" s="2">
        <v>15</v>
      </c>
      <c r="H67" s="2">
        <v>10.46</v>
      </c>
      <c r="I67" s="1">
        <v>11.11</v>
      </c>
      <c r="J67" s="1"/>
      <c r="K67" s="2">
        <v>10.68</v>
      </c>
      <c r="L67" s="2">
        <f t="shared" si="6"/>
        <v>17.13</v>
      </c>
      <c r="N67"/>
    </row>
    <row r="68" spans="1:14" ht="21" customHeight="1">
      <c r="A68" s="2" t="s">
        <v>219</v>
      </c>
      <c r="B68" s="4" t="s">
        <v>232</v>
      </c>
      <c r="C68" s="2" t="s">
        <v>80</v>
      </c>
      <c r="D68" s="2">
        <f t="shared" si="4"/>
        <v>150</v>
      </c>
      <c r="E68" s="2">
        <v>1200</v>
      </c>
      <c r="F68" s="2">
        <f t="shared" si="5"/>
        <v>1050</v>
      </c>
      <c r="G68" s="2">
        <v>25</v>
      </c>
      <c r="H68" s="2">
        <v>17.440000000000001</v>
      </c>
      <c r="I68" s="1">
        <v>18.59</v>
      </c>
      <c r="J68" s="1"/>
      <c r="K68" s="2">
        <v>17.8</v>
      </c>
      <c r="L68" s="2">
        <f t="shared" si="6"/>
        <v>28.55</v>
      </c>
      <c r="N68"/>
    </row>
    <row r="69" spans="1:14" ht="21" customHeight="1">
      <c r="A69" s="2" t="s">
        <v>219</v>
      </c>
      <c r="B69" s="4" t="s">
        <v>233</v>
      </c>
      <c r="C69" s="2" t="s">
        <v>17</v>
      </c>
      <c r="D69" s="2">
        <f t="shared" si="4"/>
        <v>300</v>
      </c>
      <c r="E69" s="2">
        <v>2400</v>
      </c>
      <c r="F69" s="2">
        <f t="shared" si="5"/>
        <v>2100</v>
      </c>
      <c r="G69" s="2">
        <v>50</v>
      </c>
      <c r="H69" s="2">
        <v>34.880000000000003</v>
      </c>
      <c r="I69" s="1">
        <v>37.17</v>
      </c>
      <c r="J69" s="1"/>
      <c r="K69" s="2">
        <v>35.590000000000003</v>
      </c>
      <c r="L69" s="2">
        <f t="shared" si="6"/>
        <v>57.1</v>
      </c>
      <c r="N69"/>
    </row>
    <row r="70" spans="1:14" ht="21" customHeight="1">
      <c r="A70" s="2" t="s">
        <v>219</v>
      </c>
      <c r="B70" s="4" t="s">
        <v>234</v>
      </c>
      <c r="C70" s="2" t="s">
        <v>236</v>
      </c>
      <c r="D70" s="2">
        <f t="shared" si="4"/>
        <v>450</v>
      </c>
      <c r="E70" s="2">
        <v>3600</v>
      </c>
      <c r="F70" s="2">
        <f t="shared" si="5"/>
        <v>3150</v>
      </c>
      <c r="G70" s="2">
        <v>75</v>
      </c>
      <c r="H70" s="2">
        <v>52.32</v>
      </c>
      <c r="I70" s="1">
        <v>55.77</v>
      </c>
      <c r="J70" s="1"/>
      <c r="K70" s="2">
        <v>53.39</v>
      </c>
      <c r="L70" s="2">
        <f t="shared" si="6"/>
        <v>85.65</v>
      </c>
      <c r="N70"/>
    </row>
    <row r="71" spans="1:14" ht="21" customHeight="1">
      <c r="A71" s="2" t="s">
        <v>219</v>
      </c>
      <c r="B71" s="4" t="s">
        <v>235</v>
      </c>
      <c r="C71" s="2" t="s">
        <v>20</v>
      </c>
      <c r="D71" s="2">
        <f t="shared" si="4"/>
        <v>600</v>
      </c>
      <c r="E71" s="2">
        <v>4800</v>
      </c>
      <c r="F71" s="2">
        <f t="shared" si="5"/>
        <v>4200</v>
      </c>
      <c r="G71" s="2">
        <v>100</v>
      </c>
      <c r="H71" s="2">
        <v>69.760000000000005</v>
      </c>
      <c r="I71" s="1">
        <v>74.34</v>
      </c>
      <c r="J71" s="1"/>
      <c r="K71" s="2">
        <v>71.180000000000007</v>
      </c>
      <c r="L71" s="2">
        <f t="shared" si="6"/>
        <v>114.2</v>
      </c>
      <c r="N71"/>
    </row>
    <row r="72" spans="1:14" ht="21" customHeight="1">
      <c r="D72" s="2">
        <f t="shared" si="4"/>
        <v>0</v>
      </c>
      <c r="F72" s="2">
        <f t="shared" si="5"/>
        <v>0</v>
      </c>
    </row>
    <row r="73" spans="1:14" ht="21" customHeight="1">
      <c r="A73" s="1"/>
      <c r="B73" s="1"/>
      <c r="C73" s="1"/>
      <c r="D73" s="2">
        <f t="shared" si="4"/>
        <v>0</v>
      </c>
      <c r="E73" s="1"/>
      <c r="F73" s="1"/>
      <c r="H73" s="1"/>
      <c r="K73" s="1"/>
    </row>
    <row r="74" spans="1:14" ht="21" customHeight="1">
      <c r="A74" s="2" t="s">
        <v>391</v>
      </c>
      <c r="B74" s="4" t="s">
        <v>389</v>
      </c>
      <c r="C74" s="2" t="s">
        <v>6</v>
      </c>
      <c r="D74" s="2">
        <f t="shared" ref="D74:D103" si="9">E74-F74</f>
        <v>31.199999999999989</v>
      </c>
      <c r="E74" s="2">
        <v>300</v>
      </c>
      <c r="F74" s="2">
        <f>G74*42</f>
        <v>268.8</v>
      </c>
      <c r="G74" s="2">
        <f>K74+0.4</f>
        <v>6.4</v>
      </c>
      <c r="H74" s="2">
        <v>5.73</v>
      </c>
      <c r="I74" s="2">
        <v>5.5</v>
      </c>
      <c r="K74" s="2">
        <v>6</v>
      </c>
      <c r="L74" s="2">
        <f>((G74/5)*0.71)+G74</f>
        <v>7.3088000000000006</v>
      </c>
    </row>
    <row r="75" spans="1:14" ht="21" customHeight="1">
      <c r="A75" s="2" t="s">
        <v>391</v>
      </c>
      <c r="B75" s="4" t="s">
        <v>389</v>
      </c>
      <c r="C75" s="2" t="s">
        <v>10</v>
      </c>
      <c r="D75" s="2">
        <f t="shared" si="9"/>
        <v>62.639999999999986</v>
      </c>
      <c r="E75" s="2">
        <v>570</v>
      </c>
      <c r="F75" s="2">
        <f t="shared" ref="F75:F103" si="10">G75*42</f>
        <v>507.36</v>
      </c>
      <c r="G75" s="2">
        <f t="shared" ref="G75:G80" si="11">K75+0.4</f>
        <v>12.08</v>
      </c>
      <c r="H75" s="2">
        <v>11.14</v>
      </c>
      <c r="I75" s="2">
        <v>11.5</v>
      </c>
      <c r="K75" s="2">
        <v>11.68</v>
      </c>
      <c r="L75" s="2">
        <f>((G75/5)*0.71)+G75</f>
        <v>13.795360000000001</v>
      </c>
    </row>
    <row r="76" spans="1:14" ht="21" customHeight="1">
      <c r="A76" s="2" t="s">
        <v>391</v>
      </c>
      <c r="B76" s="4" t="s">
        <v>389</v>
      </c>
      <c r="C76" s="2" t="s">
        <v>14</v>
      </c>
      <c r="D76" s="2">
        <f t="shared" si="9"/>
        <v>127.70000000000005</v>
      </c>
      <c r="E76" s="2">
        <v>1100</v>
      </c>
      <c r="F76" s="2">
        <f t="shared" si="10"/>
        <v>972.3</v>
      </c>
      <c r="G76" s="2">
        <f t="shared" si="11"/>
        <v>23.15</v>
      </c>
      <c r="H76" s="2">
        <v>21.01</v>
      </c>
      <c r="I76" s="2">
        <v>21.5</v>
      </c>
      <c r="K76" s="2">
        <v>22.75</v>
      </c>
      <c r="L76" s="2">
        <f t="shared" ref="L76:L103" si="12">((G76/5)*0.71)+G76</f>
        <v>26.437299999999997</v>
      </c>
    </row>
    <row r="77" spans="1:14" ht="21" customHeight="1">
      <c r="A77" s="2" t="s">
        <v>391</v>
      </c>
      <c r="B77" s="4" t="s">
        <v>389</v>
      </c>
      <c r="C77" s="2" t="s">
        <v>390</v>
      </c>
      <c r="D77" s="2">
        <f t="shared" si="9"/>
        <v>195.60000000000014</v>
      </c>
      <c r="E77" s="2">
        <v>1590</v>
      </c>
      <c r="F77" s="2">
        <f t="shared" si="10"/>
        <v>1394.3999999999999</v>
      </c>
      <c r="G77" s="2">
        <f>J77+0.4</f>
        <v>33.199999999999996</v>
      </c>
      <c r="H77" s="2">
        <v>30.89</v>
      </c>
      <c r="I77" s="2">
        <v>0</v>
      </c>
      <c r="J77" s="2">
        <v>32.799999999999997</v>
      </c>
      <c r="K77" s="2">
        <v>31.5</v>
      </c>
      <c r="L77" s="2">
        <f t="shared" si="12"/>
        <v>37.914399999999993</v>
      </c>
    </row>
    <row r="78" spans="1:14" ht="21" customHeight="1">
      <c r="A78" s="2" t="s">
        <v>391</v>
      </c>
      <c r="B78" s="4" t="s">
        <v>389</v>
      </c>
      <c r="C78" s="2" t="s">
        <v>17</v>
      </c>
      <c r="D78" s="2">
        <f t="shared" si="9"/>
        <v>316.94000000000005</v>
      </c>
      <c r="E78" s="2">
        <v>2540</v>
      </c>
      <c r="F78" s="2">
        <f t="shared" si="10"/>
        <v>2223.06</v>
      </c>
      <c r="G78" s="2">
        <f>H78+0.4</f>
        <v>52.93</v>
      </c>
      <c r="H78" s="2">
        <v>52.53</v>
      </c>
      <c r="I78" s="2">
        <v>52</v>
      </c>
      <c r="L78" s="2">
        <f t="shared" si="12"/>
        <v>60.446060000000003</v>
      </c>
    </row>
    <row r="79" spans="1:14" ht="21" customHeight="1">
      <c r="A79" s="2" t="s">
        <v>391</v>
      </c>
      <c r="B79" s="4" t="s">
        <v>389</v>
      </c>
      <c r="C79" s="2" t="s">
        <v>236</v>
      </c>
      <c r="D79" s="2">
        <f t="shared" si="9"/>
        <v>458.19999999999982</v>
      </c>
      <c r="E79" s="2">
        <v>3730</v>
      </c>
      <c r="F79" s="2">
        <f t="shared" si="10"/>
        <v>3271.8</v>
      </c>
      <c r="G79" s="2">
        <f>I79+0.4</f>
        <v>77.900000000000006</v>
      </c>
      <c r="I79" s="2">
        <v>77.5</v>
      </c>
      <c r="L79" s="2">
        <f t="shared" si="12"/>
        <v>88.961800000000011</v>
      </c>
    </row>
    <row r="80" spans="1:14" ht="21" customHeight="1">
      <c r="A80" s="2" t="s">
        <v>391</v>
      </c>
      <c r="B80" s="4" t="s">
        <v>389</v>
      </c>
      <c r="C80" s="1" t="s">
        <v>20</v>
      </c>
      <c r="D80" s="2">
        <f t="shared" si="9"/>
        <v>655.22000000000025</v>
      </c>
      <c r="E80" s="1">
        <v>5300</v>
      </c>
      <c r="F80" s="2">
        <f t="shared" si="10"/>
        <v>4644.78</v>
      </c>
      <c r="G80" s="2">
        <f t="shared" si="11"/>
        <v>110.59</v>
      </c>
      <c r="H80" s="2">
        <v>104.03</v>
      </c>
      <c r="I80" s="2">
        <v>0</v>
      </c>
      <c r="K80" s="1">
        <v>110.19</v>
      </c>
      <c r="L80" s="2">
        <f t="shared" si="12"/>
        <v>126.29378</v>
      </c>
    </row>
    <row r="81" spans="1:12" ht="21" customHeight="1">
      <c r="A81" s="2" t="s">
        <v>391</v>
      </c>
      <c r="B81" s="4" t="s">
        <v>389</v>
      </c>
      <c r="C81" s="2" t="s">
        <v>132</v>
      </c>
      <c r="D81" s="2">
        <f t="shared" si="9"/>
        <v>1263.1999999999989</v>
      </c>
      <c r="E81" s="2">
        <v>10100</v>
      </c>
      <c r="F81" s="2">
        <f t="shared" si="10"/>
        <v>8836.8000000000011</v>
      </c>
      <c r="G81" s="2">
        <f>I81+0.4</f>
        <v>210.4</v>
      </c>
      <c r="H81" s="1">
        <v>208.06</v>
      </c>
      <c r="I81" s="2">
        <v>210</v>
      </c>
      <c r="K81" s="2">
        <v>0</v>
      </c>
      <c r="L81" s="2">
        <f t="shared" si="12"/>
        <v>240.27680000000001</v>
      </c>
    </row>
    <row r="82" spans="1:12" ht="21" customHeight="1">
      <c r="D82" s="2">
        <f t="shared" si="9"/>
        <v>0</v>
      </c>
      <c r="F82" s="2">
        <f t="shared" si="10"/>
        <v>0</v>
      </c>
      <c r="L82" s="2">
        <f t="shared" si="12"/>
        <v>0</v>
      </c>
    </row>
    <row r="83" spans="1:12" ht="21" customHeight="1">
      <c r="D83" s="2">
        <f t="shared" si="9"/>
        <v>0</v>
      </c>
      <c r="F83" s="2">
        <f t="shared" si="10"/>
        <v>0</v>
      </c>
      <c r="L83" s="2">
        <f t="shared" si="12"/>
        <v>0</v>
      </c>
    </row>
    <row r="84" spans="1:12" ht="21" customHeight="1">
      <c r="A84" s="2" t="s">
        <v>392</v>
      </c>
      <c r="B84" s="4" t="s">
        <v>389</v>
      </c>
      <c r="C84" s="2" t="s">
        <v>394</v>
      </c>
      <c r="D84" s="2">
        <f t="shared" si="9"/>
        <v>37.580000000000013</v>
      </c>
      <c r="E84" s="2">
        <v>290</v>
      </c>
      <c r="F84" s="2">
        <f t="shared" si="10"/>
        <v>252.42</v>
      </c>
      <c r="G84" s="2">
        <v>6.01</v>
      </c>
      <c r="H84" s="2">
        <v>5.49</v>
      </c>
      <c r="I84" s="2">
        <v>5.44</v>
      </c>
      <c r="J84" s="2">
        <v>5.61</v>
      </c>
      <c r="K84" s="2">
        <v>5.59</v>
      </c>
      <c r="L84" s="2">
        <f t="shared" si="12"/>
        <v>6.8634199999999996</v>
      </c>
    </row>
    <row r="85" spans="1:12" ht="21" customHeight="1">
      <c r="A85" s="2" t="s">
        <v>392</v>
      </c>
      <c r="B85" s="4" t="s">
        <v>389</v>
      </c>
      <c r="C85" s="2" t="s">
        <v>395</v>
      </c>
      <c r="D85" s="2">
        <f t="shared" si="9"/>
        <v>71.88</v>
      </c>
      <c r="E85" s="2">
        <v>570</v>
      </c>
      <c r="F85" s="2">
        <f t="shared" si="10"/>
        <v>498.12</v>
      </c>
      <c r="G85" s="2">
        <v>11.86</v>
      </c>
      <c r="H85" s="2">
        <v>10.98</v>
      </c>
      <c r="J85" s="2">
        <v>11.46</v>
      </c>
      <c r="K85" s="2">
        <v>11.19</v>
      </c>
      <c r="L85" s="2">
        <f t="shared" si="12"/>
        <v>13.544119999999999</v>
      </c>
    </row>
    <row r="86" spans="1:12" ht="21" customHeight="1">
      <c r="A86" s="2" t="s">
        <v>392</v>
      </c>
      <c r="B86" s="4" t="s">
        <v>389</v>
      </c>
      <c r="C86" s="2" t="s">
        <v>396</v>
      </c>
      <c r="D86" s="2">
        <f t="shared" si="9"/>
        <v>92.67999999999995</v>
      </c>
      <c r="E86" s="2">
        <v>700</v>
      </c>
      <c r="F86" s="2">
        <f t="shared" si="10"/>
        <v>607.32000000000005</v>
      </c>
      <c r="G86" s="2">
        <v>14.46</v>
      </c>
      <c r="H86" s="2">
        <v>13.72</v>
      </c>
      <c r="I86" s="2">
        <v>13.6</v>
      </c>
      <c r="J86" s="2">
        <v>14.06</v>
      </c>
      <c r="K86" s="2">
        <v>13.98</v>
      </c>
      <c r="L86" s="2">
        <f t="shared" si="12"/>
        <v>16.51332</v>
      </c>
    </row>
    <row r="87" spans="1:12" ht="21" customHeight="1">
      <c r="A87" s="2" t="s">
        <v>392</v>
      </c>
      <c r="B87" s="4" t="s">
        <v>389</v>
      </c>
      <c r="C87" s="2" t="s">
        <v>397</v>
      </c>
      <c r="D87" s="2">
        <f t="shared" si="9"/>
        <v>172.57999999999993</v>
      </c>
      <c r="E87" s="2">
        <v>1370</v>
      </c>
      <c r="F87" s="2">
        <f t="shared" si="10"/>
        <v>1197.42</v>
      </c>
      <c r="G87" s="2">
        <v>28.51</v>
      </c>
      <c r="H87" s="2">
        <v>27.45</v>
      </c>
      <c r="I87" s="2">
        <v>27.19</v>
      </c>
      <c r="J87" s="2">
        <v>28.11</v>
      </c>
      <c r="K87" s="2">
        <v>27.97</v>
      </c>
      <c r="L87" s="2">
        <f t="shared" si="12"/>
        <v>32.558419999999998</v>
      </c>
    </row>
    <row r="88" spans="1:12" ht="21" customHeight="1">
      <c r="A88" s="2" t="s">
        <v>392</v>
      </c>
      <c r="B88" s="4" t="s">
        <v>389</v>
      </c>
      <c r="C88" s="2" t="s">
        <v>398</v>
      </c>
      <c r="D88" s="2">
        <f t="shared" si="9"/>
        <v>327.40000000000009</v>
      </c>
      <c r="E88" s="2">
        <v>2650</v>
      </c>
      <c r="F88" s="2">
        <f t="shared" si="10"/>
        <v>2322.6</v>
      </c>
      <c r="G88" s="2">
        <v>55.3</v>
      </c>
      <c r="H88" s="2">
        <v>54.9</v>
      </c>
      <c r="I88" s="2">
        <v>54.39</v>
      </c>
      <c r="J88" s="2">
        <v>54.55</v>
      </c>
      <c r="K88" s="2">
        <v>54.22</v>
      </c>
      <c r="L88" s="2">
        <f t="shared" si="12"/>
        <v>63.152599999999993</v>
      </c>
    </row>
    <row r="89" spans="1:12" ht="21" customHeight="1">
      <c r="A89" s="2" t="s">
        <v>392</v>
      </c>
      <c r="B89" s="4" t="s">
        <v>389</v>
      </c>
      <c r="C89" s="2" t="s">
        <v>399</v>
      </c>
      <c r="D89" s="2">
        <f t="shared" si="9"/>
        <v>661.18000000000029</v>
      </c>
      <c r="E89" s="2">
        <v>5290</v>
      </c>
      <c r="F89" s="2">
        <f t="shared" si="10"/>
        <v>4628.82</v>
      </c>
      <c r="G89" s="2">
        <v>110.21</v>
      </c>
      <c r="H89" s="2">
        <v>109.81</v>
      </c>
      <c r="I89" s="2">
        <v>108.78</v>
      </c>
      <c r="J89" s="2">
        <v>109.11</v>
      </c>
      <c r="K89" s="2">
        <v>108.49</v>
      </c>
      <c r="L89" s="2">
        <f t="shared" si="12"/>
        <v>125.85981999999998</v>
      </c>
    </row>
    <row r="90" spans="1:12" ht="21" customHeight="1">
      <c r="D90" s="2">
        <f t="shared" si="9"/>
        <v>0</v>
      </c>
      <c r="F90" s="2">
        <f t="shared" si="10"/>
        <v>0</v>
      </c>
      <c r="L90" s="2">
        <f t="shared" si="12"/>
        <v>0</v>
      </c>
    </row>
    <row r="91" spans="1:12" ht="21" customHeight="1">
      <c r="D91" s="2">
        <f t="shared" si="9"/>
        <v>0</v>
      </c>
      <c r="F91" s="2">
        <f t="shared" si="10"/>
        <v>0</v>
      </c>
      <c r="L91" s="2">
        <f t="shared" si="12"/>
        <v>0</v>
      </c>
    </row>
    <row r="92" spans="1:12" ht="21" customHeight="1">
      <c r="A92" s="2" t="s">
        <v>393</v>
      </c>
      <c r="B92" s="4" t="s">
        <v>389</v>
      </c>
      <c r="C92" s="2" t="s">
        <v>400</v>
      </c>
      <c r="D92" s="2">
        <f t="shared" si="9"/>
        <v>37.120000000000005</v>
      </c>
      <c r="E92" s="2">
        <v>295</v>
      </c>
      <c r="F92" s="2">
        <f t="shared" si="10"/>
        <v>257.88</v>
      </c>
      <c r="G92" s="2">
        <v>6.14</v>
      </c>
      <c r="H92" s="2">
        <v>5.57</v>
      </c>
      <c r="I92" s="2">
        <v>5.56</v>
      </c>
      <c r="J92" s="2">
        <v>5.74</v>
      </c>
      <c r="K92" s="2">
        <v>5.69</v>
      </c>
      <c r="L92" s="2">
        <f t="shared" si="12"/>
        <v>7.0118799999999997</v>
      </c>
    </row>
    <row r="93" spans="1:12" ht="21" customHeight="1">
      <c r="A93" s="2" t="s">
        <v>393</v>
      </c>
      <c r="B93" s="4" t="s">
        <v>389</v>
      </c>
      <c r="C93" s="2" t="s">
        <v>401</v>
      </c>
      <c r="D93" s="2">
        <f t="shared" si="9"/>
        <v>72.220000000000027</v>
      </c>
      <c r="E93" s="2">
        <v>580</v>
      </c>
      <c r="F93" s="2">
        <f t="shared" si="10"/>
        <v>507.78</v>
      </c>
      <c r="G93" s="2">
        <v>12.09</v>
      </c>
      <c r="H93" s="2">
        <v>11.1</v>
      </c>
      <c r="J93" s="2">
        <v>11.47</v>
      </c>
      <c r="K93" s="2">
        <v>11.69</v>
      </c>
      <c r="L93" s="2">
        <f t="shared" si="12"/>
        <v>13.80678</v>
      </c>
    </row>
    <row r="94" spans="1:12" ht="21" customHeight="1">
      <c r="A94" s="2" t="s">
        <v>393</v>
      </c>
      <c r="B94" s="4" t="s">
        <v>389</v>
      </c>
      <c r="C94" s="2" t="s">
        <v>402</v>
      </c>
      <c r="D94" s="2">
        <f t="shared" si="9"/>
        <v>90.5</v>
      </c>
      <c r="E94" s="2">
        <v>710</v>
      </c>
      <c r="F94" s="2">
        <f t="shared" si="10"/>
        <v>619.5</v>
      </c>
      <c r="G94" s="2">
        <v>14.75</v>
      </c>
      <c r="H94" s="2">
        <v>13.94</v>
      </c>
      <c r="I94" s="2">
        <v>13.89</v>
      </c>
      <c r="J94" s="2">
        <v>14.35</v>
      </c>
      <c r="K94" s="2">
        <v>14.25</v>
      </c>
      <c r="L94" s="2">
        <f t="shared" si="12"/>
        <v>16.8445</v>
      </c>
    </row>
    <row r="95" spans="1:12" ht="21" customHeight="1">
      <c r="A95" s="2" t="s">
        <v>393</v>
      </c>
      <c r="B95" s="4" t="s">
        <v>389</v>
      </c>
      <c r="C95" s="2" t="s">
        <v>403</v>
      </c>
      <c r="D95" s="2">
        <f t="shared" si="9"/>
        <v>129.77999999999997</v>
      </c>
      <c r="E95" s="2">
        <v>1050</v>
      </c>
      <c r="F95" s="2">
        <f t="shared" si="10"/>
        <v>920.22</v>
      </c>
      <c r="G95" s="2">
        <v>21.91</v>
      </c>
      <c r="H95" s="2">
        <v>20.81</v>
      </c>
      <c r="J95" s="2">
        <v>21.51</v>
      </c>
      <c r="K95" s="2">
        <v>21.37</v>
      </c>
      <c r="L95" s="2">
        <f t="shared" si="12"/>
        <v>25.02122</v>
      </c>
    </row>
    <row r="96" spans="1:12" ht="21" customHeight="1">
      <c r="A96" s="2" t="s">
        <v>393</v>
      </c>
      <c r="B96" s="4" t="s">
        <v>389</v>
      </c>
      <c r="C96" s="2" t="s">
        <v>404</v>
      </c>
      <c r="D96" s="2">
        <f t="shared" si="9"/>
        <v>178.6400000000001</v>
      </c>
      <c r="E96" s="2">
        <v>1400</v>
      </c>
      <c r="F96" s="2">
        <f t="shared" si="10"/>
        <v>1221.3599999999999</v>
      </c>
      <c r="G96" s="2">
        <v>29.08</v>
      </c>
      <c r="H96" s="2">
        <v>27.89</v>
      </c>
      <c r="I96" s="2">
        <v>27.78</v>
      </c>
      <c r="J96" s="2">
        <v>28.68</v>
      </c>
      <c r="K96" s="2">
        <v>28.45</v>
      </c>
      <c r="L96" s="2">
        <f t="shared" si="12"/>
        <v>33.209359999999997</v>
      </c>
    </row>
    <row r="97" spans="1:12" ht="21" customHeight="1">
      <c r="A97" s="2" t="s">
        <v>393</v>
      </c>
      <c r="B97" s="4" t="s">
        <v>389</v>
      </c>
      <c r="C97" s="2" t="s">
        <v>405</v>
      </c>
      <c r="D97" s="2">
        <f t="shared" si="9"/>
        <v>340.44000000000005</v>
      </c>
      <c r="E97" s="2">
        <v>2700</v>
      </c>
      <c r="F97" s="2">
        <f t="shared" si="10"/>
        <v>2359.56</v>
      </c>
      <c r="G97" s="2">
        <v>56.18</v>
      </c>
      <c r="H97" s="2">
        <v>55.78</v>
      </c>
      <c r="I97" s="2">
        <v>55.55</v>
      </c>
      <c r="J97" s="2">
        <v>55.66</v>
      </c>
      <c r="K97" s="2">
        <v>55.5</v>
      </c>
      <c r="L97" s="2">
        <f t="shared" si="12"/>
        <v>64.157560000000004</v>
      </c>
    </row>
    <row r="98" spans="1:12" ht="21" customHeight="1">
      <c r="A98" s="2" t="s">
        <v>393</v>
      </c>
      <c r="B98" s="4" t="s">
        <v>389</v>
      </c>
      <c r="C98" s="2" t="s">
        <v>406</v>
      </c>
      <c r="D98" s="2">
        <f t="shared" si="9"/>
        <v>667.26000000000022</v>
      </c>
      <c r="E98" s="2">
        <v>5370</v>
      </c>
      <c r="F98" s="2">
        <f t="shared" si="10"/>
        <v>4702.74</v>
      </c>
      <c r="G98" s="2">
        <v>111.97</v>
      </c>
      <c r="H98" s="2">
        <v>111.57</v>
      </c>
      <c r="I98" s="2">
        <v>111.1</v>
      </c>
      <c r="J98" s="2">
        <v>111.25</v>
      </c>
      <c r="K98" s="2">
        <v>111</v>
      </c>
      <c r="L98" s="2">
        <f t="shared" si="12"/>
        <v>127.86973999999999</v>
      </c>
    </row>
    <row r="99" spans="1:12" ht="21" customHeight="1">
      <c r="D99" s="2">
        <f t="shared" si="9"/>
        <v>0</v>
      </c>
      <c r="F99" s="2">
        <f t="shared" si="10"/>
        <v>0</v>
      </c>
      <c r="L99" s="2">
        <f t="shared" si="12"/>
        <v>0</v>
      </c>
    </row>
    <row r="100" spans="1:12" ht="21" customHeight="1">
      <c r="D100" s="2">
        <f t="shared" si="9"/>
        <v>0</v>
      </c>
      <c r="F100" s="2">
        <f t="shared" si="10"/>
        <v>0</v>
      </c>
      <c r="L100" s="2">
        <f t="shared" si="12"/>
        <v>0</v>
      </c>
    </row>
    <row r="101" spans="1:12" ht="21" customHeight="1">
      <c r="A101" s="2" t="s">
        <v>33</v>
      </c>
      <c r="B101" s="4" t="s">
        <v>389</v>
      </c>
      <c r="C101" s="2" t="s">
        <v>14</v>
      </c>
      <c r="D101" s="2">
        <f t="shared" si="9"/>
        <v>154.88000000000011</v>
      </c>
      <c r="E101" s="2">
        <v>1220</v>
      </c>
      <c r="F101" s="2">
        <f t="shared" si="10"/>
        <v>1065.1199999999999</v>
      </c>
      <c r="G101" s="2">
        <v>25.36</v>
      </c>
      <c r="H101" s="2">
        <v>24.96</v>
      </c>
      <c r="L101" s="2">
        <f t="shared" si="12"/>
        <v>28.961120000000001</v>
      </c>
    </row>
    <row r="102" spans="1:12" ht="21" customHeight="1">
      <c r="D102" s="2">
        <f t="shared" si="9"/>
        <v>0</v>
      </c>
      <c r="F102" s="2">
        <f t="shared" si="10"/>
        <v>0</v>
      </c>
      <c r="L102" s="2">
        <f t="shared" si="12"/>
        <v>0</v>
      </c>
    </row>
    <row r="103" spans="1:12" ht="21" customHeight="1">
      <c r="A103" s="2" t="s">
        <v>32</v>
      </c>
      <c r="B103" s="4" t="s">
        <v>389</v>
      </c>
      <c r="C103" s="2" t="s">
        <v>14</v>
      </c>
      <c r="D103" s="2">
        <f t="shared" si="9"/>
        <v>151.60000000000014</v>
      </c>
      <c r="E103" s="2">
        <v>1210</v>
      </c>
      <c r="F103" s="2">
        <f t="shared" si="10"/>
        <v>1058.3999999999999</v>
      </c>
      <c r="G103" s="2">
        <v>25.2</v>
      </c>
      <c r="H103" s="2">
        <v>24.8</v>
      </c>
      <c r="L103" s="2">
        <f t="shared" si="12"/>
        <v>28.778399999999998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O77"/>
  <sheetViews>
    <sheetView zoomScale="85" zoomScaleNormal="85" workbookViewId="0">
      <pane ySplit="1" topLeftCell="A2" activePane="bottomLeft" state="frozen"/>
      <selection activeCell="D1" sqref="D1"/>
      <selection pane="bottomLeft" activeCell="D18" sqref="D18"/>
    </sheetView>
  </sheetViews>
  <sheetFormatPr baseColWidth="10" defaultColWidth="15.42578125" defaultRowHeight="21" customHeight="1"/>
  <cols>
    <col min="1" max="1" width="15.42578125" style="2"/>
    <col min="2" max="2" width="37.7109375" style="4" customWidth="1"/>
    <col min="3" max="3" width="16" style="2" customWidth="1"/>
    <col min="4" max="4" width="20.42578125" style="2" customWidth="1"/>
    <col min="5" max="5" width="19.85546875" style="2" customWidth="1"/>
    <col min="6" max="6" width="18.28515625" customWidth="1"/>
    <col min="7" max="7" width="15.42578125" style="2"/>
    <col min="8" max="8" width="25" style="2" customWidth="1"/>
    <col min="9" max="9" width="25.28515625" style="2" customWidth="1"/>
    <col min="10" max="11" width="25" style="2" customWidth="1"/>
    <col min="12" max="16384" width="15.42578125" style="2"/>
  </cols>
  <sheetData>
    <row r="1" spans="1:13" ht="21" customHeight="1">
      <c r="A1" s="1" t="s">
        <v>74</v>
      </c>
      <c r="B1" s="1" t="s">
        <v>0</v>
      </c>
      <c r="C1" s="1" t="s">
        <v>5</v>
      </c>
      <c r="D1" s="1" t="s">
        <v>344</v>
      </c>
      <c r="E1" s="1" t="s">
        <v>4</v>
      </c>
      <c r="F1" s="1" t="s">
        <v>348</v>
      </c>
      <c r="G1" s="2" t="s">
        <v>152</v>
      </c>
      <c r="H1" s="1" t="s">
        <v>129</v>
      </c>
      <c r="I1" s="1" t="s">
        <v>195</v>
      </c>
      <c r="J1" s="1" t="s">
        <v>237</v>
      </c>
      <c r="K1" s="1" t="s">
        <v>347</v>
      </c>
      <c r="L1" s="2" t="s">
        <v>292</v>
      </c>
      <c r="M1" s="2" t="s">
        <v>342</v>
      </c>
    </row>
    <row r="2" spans="1:13" ht="21" customHeight="1">
      <c r="A2" s="1"/>
      <c r="B2" s="1"/>
      <c r="C2" s="1"/>
      <c r="D2" s="1"/>
      <c r="E2" s="1"/>
      <c r="F2" s="1"/>
      <c r="H2" s="1"/>
      <c r="I2" s="1"/>
      <c r="J2" s="1"/>
      <c r="K2" s="1"/>
    </row>
    <row r="3" spans="1:13" ht="21" customHeight="1" thickBot="1">
      <c r="A3" s="2" t="s">
        <v>303</v>
      </c>
      <c r="B3" s="4" t="s">
        <v>371</v>
      </c>
      <c r="C3" s="2" t="s">
        <v>338</v>
      </c>
      <c r="D3" s="1"/>
      <c r="E3" s="1"/>
      <c r="F3" s="1"/>
      <c r="H3" s="1">
        <v>1.91</v>
      </c>
      <c r="I3" s="1"/>
      <c r="J3" s="1">
        <v>2</v>
      </c>
      <c r="K3" s="1">
        <v>2.08</v>
      </c>
    </row>
    <row r="4" spans="1:13" ht="21" customHeight="1" thickBot="1">
      <c r="A4" s="2" t="s">
        <v>303</v>
      </c>
      <c r="B4" s="4" t="s">
        <v>1</v>
      </c>
      <c r="C4" s="2" t="s">
        <v>6</v>
      </c>
      <c r="D4" s="2">
        <f>E4-F4</f>
        <v>30</v>
      </c>
      <c r="E4" s="2">
        <v>240</v>
      </c>
      <c r="F4">
        <f>G4*42</f>
        <v>210</v>
      </c>
      <c r="G4" s="2">
        <v>5</v>
      </c>
      <c r="H4" s="2">
        <v>4.8</v>
      </c>
      <c r="I4" s="18">
        <v>4.8499999999999996</v>
      </c>
      <c r="J4" s="2">
        <v>4.95</v>
      </c>
      <c r="L4" s="2">
        <f>((G4/5)*0.71)+G4</f>
        <v>5.71</v>
      </c>
    </row>
    <row r="5" spans="1:13" ht="21" customHeight="1" thickBot="1">
      <c r="A5" s="2" t="s">
        <v>303</v>
      </c>
      <c r="B5" s="4" t="s">
        <v>8</v>
      </c>
      <c r="C5" s="2" t="s">
        <v>10</v>
      </c>
      <c r="D5" s="2">
        <f t="shared" ref="D5:D13" si="0">E5-F5</f>
        <v>40</v>
      </c>
      <c r="E5" s="2">
        <v>460</v>
      </c>
      <c r="F5">
        <f t="shared" ref="F5:F13" si="1">G5*42</f>
        <v>420</v>
      </c>
      <c r="G5" s="2">
        <v>10</v>
      </c>
      <c r="H5" s="2">
        <v>9.6</v>
      </c>
      <c r="I5" s="18">
        <v>9.6999999999999993</v>
      </c>
      <c r="J5" s="2">
        <v>9.9</v>
      </c>
      <c r="L5" s="2">
        <f t="shared" ref="L5:L13" si="2">((G5/5)*0.71)+G5</f>
        <v>11.42</v>
      </c>
    </row>
    <row r="6" spans="1:13" ht="21" customHeight="1" thickBot="1">
      <c r="A6" s="2" t="s">
        <v>303</v>
      </c>
      <c r="B6" s="4" t="s">
        <v>12</v>
      </c>
      <c r="C6" s="2" t="s">
        <v>14</v>
      </c>
      <c r="D6" s="2">
        <f t="shared" si="0"/>
        <v>120</v>
      </c>
      <c r="E6" s="2">
        <v>960</v>
      </c>
      <c r="F6">
        <f t="shared" si="1"/>
        <v>840</v>
      </c>
      <c r="G6" s="2">
        <v>20</v>
      </c>
      <c r="H6" s="2">
        <v>19.2</v>
      </c>
      <c r="I6" s="18">
        <v>19.399999999999999</v>
      </c>
      <c r="J6" s="2">
        <v>19.8</v>
      </c>
      <c r="L6" s="2">
        <f t="shared" si="2"/>
        <v>22.84</v>
      </c>
    </row>
    <row r="7" spans="1:13" ht="21" customHeight="1" thickBot="1">
      <c r="A7" s="2" t="s">
        <v>303</v>
      </c>
      <c r="B7" s="4" t="s">
        <v>15</v>
      </c>
      <c r="C7" s="2" t="s">
        <v>17</v>
      </c>
      <c r="D7" s="2">
        <f t="shared" si="0"/>
        <v>300</v>
      </c>
      <c r="E7" s="2">
        <v>2400</v>
      </c>
      <c r="F7">
        <f t="shared" si="1"/>
        <v>2100</v>
      </c>
      <c r="G7" s="2">
        <v>50</v>
      </c>
      <c r="H7" s="2">
        <v>48</v>
      </c>
      <c r="I7" s="18">
        <v>48.5</v>
      </c>
      <c r="J7" s="2">
        <v>49.5</v>
      </c>
      <c r="L7" s="2">
        <f t="shared" si="2"/>
        <v>57.1</v>
      </c>
    </row>
    <row r="8" spans="1:13" ht="21" customHeight="1" thickBot="1">
      <c r="A8" s="2" t="s">
        <v>303</v>
      </c>
      <c r="B8" s="4" t="s">
        <v>18</v>
      </c>
      <c r="C8" s="2" t="s">
        <v>20</v>
      </c>
      <c r="D8" s="2">
        <f t="shared" si="0"/>
        <v>600</v>
      </c>
      <c r="E8" s="2">
        <v>4800</v>
      </c>
      <c r="F8">
        <f t="shared" si="1"/>
        <v>4200</v>
      </c>
      <c r="G8" s="2">
        <v>100</v>
      </c>
      <c r="H8" s="2">
        <v>96</v>
      </c>
      <c r="I8" s="6">
        <v>97</v>
      </c>
      <c r="J8" s="2">
        <v>99</v>
      </c>
      <c r="L8" s="2">
        <f t="shared" si="2"/>
        <v>114.2</v>
      </c>
    </row>
    <row r="9" spans="1:13" ht="21" customHeight="1" thickBot="1">
      <c r="A9" s="2" t="s">
        <v>303</v>
      </c>
      <c r="B9" s="4" t="s">
        <v>136</v>
      </c>
      <c r="C9" s="2" t="s">
        <v>131</v>
      </c>
      <c r="D9" s="2">
        <f t="shared" si="0"/>
        <v>900</v>
      </c>
      <c r="E9" s="2">
        <v>7200</v>
      </c>
      <c r="F9">
        <f t="shared" si="1"/>
        <v>6300</v>
      </c>
      <c r="G9" s="2">
        <v>150</v>
      </c>
      <c r="I9" s="6">
        <v>145</v>
      </c>
      <c r="J9" s="2">
        <v>148.5</v>
      </c>
      <c r="L9" s="2">
        <f t="shared" si="2"/>
        <v>171.3</v>
      </c>
    </row>
    <row r="10" spans="1:13" ht="21" customHeight="1" thickBot="1">
      <c r="A10" s="2" t="s">
        <v>303</v>
      </c>
      <c r="B10" s="4" t="s">
        <v>137</v>
      </c>
      <c r="C10" s="2" t="s">
        <v>132</v>
      </c>
      <c r="D10" s="2">
        <f t="shared" si="0"/>
        <v>1200</v>
      </c>
      <c r="E10" s="2">
        <v>9600</v>
      </c>
      <c r="F10">
        <f t="shared" si="1"/>
        <v>8400</v>
      </c>
      <c r="G10" s="2">
        <v>200</v>
      </c>
      <c r="I10" s="6">
        <v>198</v>
      </c>
      <c r="J10" s="2">
        <v>198</v>
      </c>
      <c r="L10" s="2">
        <f t="shared" si="2"/>
        <v>228.4</v>
      </c>
    </row>
    <row r="11" spans="1:13" ht="21" customHeight="1" thickBot="1">
      <c r="A11" s="2" t="s">
        <v>303</v>
      </c>
      <c r="B11" s="4" t="s">
        <v>138</v>
      </c>
      <c r="C11" s="2" t="s">
        <v>133</v>
      </c>
      <c r="D11" s="2">
        <f t="shared" si="0"/>
        <v>1500</v>
      </c>
      <c r="E11" s="2">
        <v>12000</v>
      </c>
      <c r="F11">
        <f t="shared" si="1"/>
        <v>10500</v>
      </c>
      <c r="G11" s="2">
        <v>250</v>
      </c>
      <c r="I11" s="6">
        <v>242</v>
      </c>
      <c r="J11" s="2">
        <v>247.5</v>
      </c>
      <c r="L11" s="2">
        <f t="shared" si="2"/>
        <v>285.5</v>
      </c>
    </row>
    <row r="12" spans="1:13" ht="21" customHeight="1" thickBot="1">
      <c r="A12" s="2" t="s">
        <v>303</v>
      </c>
      <c r="B12" s="4" t="s">
        <v>139</v>
      </c>
      <c r="C12" s="2" t="s">
        <v>134</v>
      </c>
      <c r="D12" s="2">
        <f t="shared" si="0"/>
        <v>1800</v>
      </c>
      <c r="E12" s="2">
        <v>14400</v>
      </c>
      <c r="F12">
        <f t="shared" si="1"/>
        <v>12600</v>
      </c>
      <c r="G12" s="2">
        <v>300</v>
      </c>
      <c r="I12" s="6">
        <v>291</v>
      </c>
      <c r="J12" s="2">
        <v>297</v>
      </c>
      <c r="L12" s="2">
        <f t="shared" si="2"/>
        <v>342.6</v>
      </c>
    </row>
    <row r="13" spans="1:13" ht="21" customHeight="1" thickBot="1">
      <c r="A13" s="2" t="s">
        <v>303</v>
      </c>
      <c r="B13" s="4" t="s">
        <v>140</v>
      </c>
      <c r="C13" s="2" t="s">
        <v>135</v>
      </c>
      <c r="D13" s="2">
        <f t="shared" si="0"/>
        <v>3000</v>
      </c>
      <c r="E13" s="2">
        <v>24000</v>
      </c>
      <c r="F13">
        <f t="shared" si="1"/>
        <v>21000</v>
      </c>
      <c r="G13" s="2">
        <v>500</v>
      </c>
      <c r="I13" s="6">
        <v>480</v>
      </c>
      <c r="J13" s="2">
        <v>495</v>
      </c>
      <c r="L13" s="2">
        <f t="shared" si="2"/>
        <v>571</v>
      </c>
    </row>
    <row r="14" spans="1:13" ht="21" customHeight="1" thickBot="1">
      <c r="F14" s="2"/>
      <c r="I14" s="6"/>
    </row>
    <row r="15" spans="1:13" ht="21" customHeight="1" thickBot="1">
      <c r="A15" s="2" t="s">
        <v>141</v>
      </c>
      <c r="B15" s="4" t="s">
        <v>143</v>
      </c>
      <c r="C15" s="2" t="s">
        <v>6</v>
      </c>
      <c r="E15" s="2">
        <v>240</v>
      </c>
      <c r="F15" s="2"/>
      <c r="G15" s="2">
        <v>5</v>
      </c>
      <c r="H15" s="2">
        <v>3.7</v>
      </c>
      <c r="I15" s="18">
        <v>3.7</v>
      </c>
      <c r="J15" s="2">
        <v>3.81</v>
      </c>
    </row>
    <row r="16" spans="1:13" ht="21" customHeight="1" thickBot="1">
      <c r="A16" s="2" t="s">
        <v>141</v>
      </c>
      <c r="B16" s="4" t="s">
        <v>144</v>
      </c>
      <c r="C16" s="2" t="s">
        <v>10</v>
      </c>
      <c r="E16" s="2">
        <v>410</v>
      </c>
      <c r="F16" s="2"/>
      <c r="G16" s="2">
        <v>9</v>
      </c>
      <c r="H16" s="2">
        <v>7.4</v>
      </c>
      <c r="I16" s="18">
        <v>7.38</v>
      </c>
      <c r="J16" s="2">
        <v>7.62</v>
      </c>
    </row>
    <row r="17" spans="1:10" ht="21" customHeight="1" thickBot="1">
      <c r="A17" s="2" t="s">
        <v>141</v>
      </c>
      <c r="B17" s="4" t="s">
        <v>145</v>
      </c>
      <c r="C17" s="2" t="s">
        <v>14</v>
      </c>
      <c r="E17" s="2">
        <v>760</v>
      </c>
      <c r="F17" s="2"/>
      <c r="G17" s="2">
        <v>16</v>
      </c>
      <c r="H17" s="2">
        <v>14.81</v>
      </c>
      <c r="I17" s="6">
        <v>14.8</v>
      </c>
    </row>
    <row r="18" spans="1:10" ht="21" customHeight="1" thickBot="1">
      <c r="A18" s="2" t="s">
        <v>141</v>
      </c>
      <c r="B18" s="4" t="s">
        <v>146</v>
      </c>
      <c r="C18" s="2" t="s">
        <v>17</v>
      </c>
      <c r="E18" s="2">
        <v>1870</v>
      </c>
      <c r="F18" s="2"/>
      <c r="G18" s="2">
        <v>39.020000000000003</v>
      </c>
      <c r="H18" s="2">
        <v>37.020000000000003</v>
      </c>
      <c r="I18" s="18">
        <v>36.9</v>
      </c>
      <c r="J18" s="2">
        <v>37.69</v>
      </c>
    </row>
    <row r="19" spans="1:10" ht="21" customHeight="1" thickBot="1">
      <c r="A19" s="2" t="s">
        <v>141</v>
      </c>
      <c r="B19" s="4" t="s">
        <v>147</v>
      </c>
      <c r="C19" s="2" t="s">
        <v>20</v>
      </c>
      <c r="E19" s="2">
        <v>3670</v>
      </c>
      <c r="F19" s="2"/>
      <c r="G19" s="2">
        <v>76.83</v>
      </c>
      <c r="H19" s="2">
        <v>74.040000000000006</v>
      </c>
      <c r="I19" s="18">
        <v>73.8</v>
      </c>
      <c r="J19" s="2">
        <v>75.400000000000006</v>
      </c>
    </row>
    <row r="20" spans="1:10" ht="21" customHeight="1" thickBot="1">
      <c r="A20" s="2" t="s">
        <v>141</v>
      </c>
      <c r="B20" s="4" t="s">
        <v>148</v>
      </c>
      <c r="C20" s="2" t="s">
        <v>131</v>
      </c>
      <c r="E20" s="2">
        <v>5360</v>
      </c>
      <c r="F20" s="2"/>
      <c r="G20" s="2">
        <v>112.05</v>
      </c>
      <c r="H20" s="2">
        <v>111.07</v>
      </c>
      <c r="I20" s="6">
        <v>110.8</v>
      </c>
    </row>
    <row r="21" spans="1:10" ht="21" customHeight="1" thickBot="1">
      <c r="A21" s="2" t="s">
        <v>141</v>
      </c>
      <c r="B21" s="4" t="s">
        <v>149</v>
      </c>
      <c r="C21" s="2" t="s">
        <v>132</v>
      </c>
      <c r="E21" s="2">
        <v>7180</v>
      </c>
      <c r="F21" s="2"/>
      <c r="G21" s="2">
        <v>149.69999999999999</v>
      </c>
      <c r="H21" s="2">
        <v>148.09</v>
      </c>
      <c r="I21" s="6">
        <v>147.69999999999999</v>
      </c>
    </row>
    <row r="22" spans="1:10" ht="21" customHeight="1" thickBot="1">
      <c r="A22" s="2" t="s">
        <v>141</v>
      </c>
      <c r="B22" s="4" t="s">
        <v>150</v>
      </c>
      <c r="C22" s="2" t="s">
        <v>133</v>
      </c>
      <c r="E22" s="2">
        <v>8930</v>
      </c>
      <c r="F22" s="2"/>
      <c r="G22" s="2">
        <v>186.4</v>
      </c>
      <c r="H22" s="2">
        <v>185.11</v>
      </c>
      <c r="I22" s="6">
        <v>184.6</v>
      </c>
    </row>
    <row r="23" spans="1:10" ht="21" customHeight="1" thickBot="1">
      <c r="A23" s="2" t="s">
        <v>141</v>
      </c>
      <c r="B23" s="4" t="s">
        <v>151</v>
      </c>
      <c r="C23" s="2" t="s">
        <v>134</v>
      </c>
      <c r="E23" s="2">
        <v>10700</v>
      </c>
      <c r="F23" s="2"/>
      <c r="G23" s="2">
        <v>223.5</v>
      </c>
      <c r="H23" s="2">
        <v>222.13</v>
      </c>
      <c r="I23" s="6">
        <v>221.5</v>
      </c>
    </row>
    <row r="24" spans="1:10" ht="21" customHeight="1" thickBot="1">
      <c r="A24" s="2" t="s">
        <v>141</v>
      </c>
      <c r="B24" s="4" t="s">
        <v>142</v>
      </c>
      <c r="C24" s="2" t="s">
        <v>135</v>
      </c>
      <c r="E24" s="2">
        <v>17830</v>
      </c>
      <c r="F24" s="2"/>
      <c r="G24" s="2">
        <v>371.87</v>
      </c>
      <c r="H24" s="2">
        <v>370.22</v>
      </c>
      <c r="I24" s="6">
        <v>369.2</v>
      </c>
    </row>
    <row r="25" spans="1:10" ht="21" customHeight="1" thickBot="1">
      <c r="F25" s="2"/>
      <c r="I25" s="6"/>
    </row>
    <row r="26" spans="1:10" ht="21" customHeight="1" thickBot="1">
      <c r="A26" s="2" t="s">
        <v>32</v>
      </c>
      <c r="B26" s="5" t="s">
        <v>21</v>
      </c>
      <c r="C26" s="3">
        <v>10</v>
      </c>
      <c r="E26" s="2">
        <v>640</v>
      </c>
      <c r="F26" s="2"/>
      <c r="G26" s="2">
        <v>13.8</v>
      </c>
      <c r="H26" s="2">
        <v>11.99</v>
      </c>
      <c r="I26" s="6">
        <v>11.7</v>
      </c>
      <c r="J26" s="2">
        <v>11.91</v>
      </c>
    </row>
    <row r="27" spans="1:10" ht="21" customHeight="1" thickBot="1">
      <c r="A27" s="2" t="s">
        <v>32</v>
      </c>
      <c r="B27" s="4" t="s">
        <v>23</v>
      </c>
      <c r="C27" s="3">
        <v>15</v>
      </c>
      <c r="E27" s="2">
        <v>910</v>
      </c>
      <c r="F27" s="2"/>
      <c r="G27" s="2">
        <v>19.02</v>
      </c>
      <c r="H27" s="2">
        <v>17.98</v>
      </c>
      <c r="I27" s="6">
        <v>17.5</v>
      </c>
      <c r="J27" s="2">
        <v>17.809999999999999</v>
      </c>
    </row>
    <row r="28" spans="1:10" ht="21" customHeight="1" thickBot="1">
      <c r="A28" s="2" t="s">
        <v>32</v>
      </c>
      <c r="B28" s="4" t="s">
        <v>25</v>
      </c>
      <c r="C28" s="3">
        <v>50</v>
      </c>
      <c r="E28" s="2">
        <v>2950</v>
      </c>
      <c r="F28" s="2"/>
      <c r="G28" s="2">
        <v>61.83</v>
      </c>
      <c r="H28" s="2">
        <v>59.93</v>
      </c>
      <c r="I28" s="6">
        <v>58.4</v>
      </c>
      <c r="J28" s="2">
        <v>58.85</v>
      </c>
    </row>
    <row r="29" spans="1:10" ht="21" customHeight="1" thickBot="1">
      <c r="A29" s="2" t="s">
        <v>32</v>
      </c>
      <c r="B29" s="4" t="s">
        <v>27</v>
      </c>
      <c r="C29" s="3">
        <v>100</v>
      </c>
      <c r="E29" s="2">
        <v>5800</v>
      </c>
      <c r="F29" s="2"/>
      <c r="G29" s="2">
        <v>121.66</v>
      </c>
      <c r="H29" s="2">
        <v>119.86</v>
      </c>
      <c r="I29" s="18">
        <v>119.37</v>
      </c>
      <c r="J29" s="2">
        <v>117.68</v>
      </c>
    </row>
    <row r="30" spans="1:10" ht="21" customHeight="1" thickBot="1">
      <c r="C30" s="3"/>
      <c r="F30" s="2"/>
      <c r="I30" s="6"/>
    </row>
    <row r="31" spans="1:10" ht="21" customHeight="1" thickBot="1">
      <c r="A31" s="2" t="s">
        <v>33</v>
      </c>
      <c r="B31" s="4" t="s">
        <v>29</v>
      </c>
      <c r="C31" s="3">
        <v>15</v>
      </c>
      <c r="E31" s="2">
        <v>950</v>
      </c>
      <c r="F31" s="2"/>
      <c r="G31" s="2">
        <v>19.579999999999998</v>
      </c>
      <c r="H31" s="2">
        <v>17.98</v>
      </c>
      <c r="I31" s="18">
        <v>17.7</v>
      </c>
      <c r="J31" s="2">
        <v>17.670000000000002</v>
      </c>
    </row>
    <row r="32" spans="1:10" ht="21" customHeight="1" thickBot="1">
      <c r="A32" s="2" t="s">
        <v>33</v>
      </c>
      <c r="B32" s="4" t="s">
        <v>34</v>
      </c>
      <c r="C32" s="3">
        <v>20</v>
      </c>
      <c r="E32" s="2">
        <v>1200</v>
      </c>
      <c r="F32" s="2"/>
      <c r="G32" s="2">
        <v>25.37</v>
      </c>
      <c r="H32" s="2">
        <v>23.97</v>
      </c>
      <c r="I32" s="6">
        <v>23.6</v>
      </c>
    </row>
    <row r="33" spans="1:10" ht="21" customHeight="1" thickBot="1">
      <c r="A33" s="2" t="s">
        <v>33</v>
      </c>
      <c r="B33" s="4" t="s">
        <v>37</v>
      </c>
      <c r="C33" s="3">
        <v>50</v>
      </c>
      <c r="E33" s="2">
        <v>2940</v>
      </c>
      <c r="F33" s="2"/>
      <c r="G33" s="2">
        <v>61.43</v>
      </c>
      <c r="H33" s="2">
        <v>59.93</v>
      </c>
      <c r="I33" s="6">
        <v>58.94</v>
      </c>
      <c r="J33" s="2">
        <v>58.64</v>
      </c>
    </row>
    <row r="34" spans="1:10" ht="21" customHeight="1" thickBot="1">
      <c r="A34" s="2" t="s">
        <v>33</v>
      </c>
      <c r="B34" s="4" t="s">
        <v>38</v>
      </c>
      <c r="C34" s="3">
        <v>100</v>
      </c>
      <c r="E34" s="2">
        <v>5800</v>
      </c>
      <c r="F34" s="2"/>
      <c r="G34" s="2">
        <v>121.36</v>
      </c>
      <c r="H34" s="2">
        <v>119.86</v>
      </c>
      <c r="I34" s="6">
        <v>117.88</v>
      </c>
      <c r="J34" s="2">
        <v>117.2</v>
      </c>
    </row>
    <row r="35" spans="1:10" ht="21" customHeight="1" thickBot="1">
      <c r="A35" s="2" t="s">
        <v>33</v>
      </c>
      <c r="B35" s="4" t="s">
        <v>40</v>
      </c>
      <c r="C35" s="3">
        <v>250</v>
      </c>
      <c r="E35" s="2">
        <v>14460</v>
      </c>
      <c r="F35" s="2"/>
      <c r="G35" s="2">
        <v>301.56</v>
      </c>
      <c r="H35" s="2">
        <v>299.66000000000003</v>
      </c>
      <c r="I35" s="6">
        <v>294.69</v>
      </c>
    </row>
    <row r="36" spans="1:10" ht="21" customHeight="1" thickBot="1">
      <c r="C36" s="3"/>
      <c r="F36" s="2"/>
      <c r="I36" s="6"/>
    </row>
    <row r="37" spans="1:10" ht="21" customHeight="1" thickBot="1">
      <c r="A37" s="2" t="s">
        <v>43</v>
      </c>
      <c r="B37" s="4" t="s">
        <v>42</v>
      </c>
      <c r="C37" s="2" t="s">
        <v>45</v>
      </c>
      <c r="E37" s="2">
        <v>740</v>
      </c>
      <c r="F37" s="2"/>
      <c r="G37" s="2">
        <v>15.46</v>
      </c>
      <c r="H37" s="2">
        <v>13.59</v>
      </c>
      <c r="I37" s="18">
        <v>13.96</v>
      </c>
      <c r="J37" s="2">
        <v>13.97</v>
      </c>
    </row>
    <row r="38" spans="1:10" ht="21" customHeight="1" thickBot="1">
      <c r="A38" s="2" t="s">
        <v>43</v>
      </c>
      <c r="B38" s="4" t="s">
        <v>46</v>
      </c>
      <c r="C38" s="2" t="s">
        <v>48</v>
      </c>
      <c r="E38" s="2">
        <v>1400</v>
      </c>
      <c r="F38" s="2"/>
      <c r="G38" s="2">
        <v>29.42</v>
      </c>
      <c r="H38" s="2">
        <v>27.17</v>
      </c>
      <c r="I38" s="18">
        <v>27.92</v>
      </c>
      <c r="J38" s="2">
        <v>27.93</v>
      </c>
    </row>
    <row r="39" spans="1:10" ht="21" customHeight="1" thickBot="1">
      <c r="A39" s="2" t="s">
        <v>43</v>
      </c>
      <c r="B39" s="4" t="s">
        <v>49</v>
      </c>
      <c r="C39" s="2" t="s">
        <v>51</v>
      </c>
      <c r="E39" s="2">
        <v>2670</v>
      </c>
      <c r="F39" s="2"/>
      <c r="G39" s="2">
        <v>55.84</v>
      </c>
      <c r="H39" s="2">
        <v>54.34</v>
      </c>
      <c r="I39" s="7"/>
    </row>
    <row r="40" spans="1:10" ht="21" customHeight="1" thickBot="1">
      <c r="A40" s="2" t="s">
        <v>43</v>
      </c>
      <c r="B40" s="4" t="s">
        <v>52</v>
      </c>
      <c r="C40" s="2" t="s">
        <v>54</v>
      </c>
      <c r="E40" s="2">
        <v>6760</v>
      </c>
      <c r="F40" s="2"/>
      <c r="G40" s="2">
        <v>141.08000000000001</v>
      </c>
      <c r="H40" s="2">
        <v>135.86000000000001</v>
      </c>
      <c r="I40" s="18">
        <v>139.58000000000001</v>
      </c>
      <c r="J40" s="2">
        <v>139.66</v>
      </c>
    </row>
    <row r="41" spans="1:10" ht="21" customHeight="1" thickBot="1">
      <c r="A41" s="2" t="s">
        <v>43</v>
      </c>
      <c r="B41" s="4" t="s">
        <v>55</v>
      </c>
      <c r="C41" s="2" t="s">
        <v>57</v>
      </c>
      <c r="E41" s="2">
        <v>13090</v>
      </c>
      <c r="F41" s="2"/>
      <c r="G41" s="2">
        <v>273.12</v>
      </c>
      <c r="H41" s="2">
        <v>271.72000000000003</v>
      </c>
      <c r="I41" s="7"/>
    </row>
    <row r="42" spans="1:10" ht="21" customHeight="1" thickBot="1">
      <c r="F42" s="2"/>
      <c r="I42" s="7"/>
    </row>
    <row r="43" spans="1:10" ht="21" customHeight="1" thickBot="1">
      <c r="A43" s="2" t="s">
        <v>61</v>
      </c>
      <c r="B43" s="4" t="s">
        <v>58</v>
      </c>
      <c r="C43" s="2" t="s">
        <v>60</v>
      </c>
      <c r="E43" s="2">
        <v>750</v>
      </c>
      <c r="F43" s="2"/>
      <c r="G43" s="2">
        <v>15.7</v>
      </c>
      <c r="H43" s="2">
        <v>14.16</v>
      </c>
      <c r="I43" s="18">
        <v>14.5</v>
      </c>
      <c r="J43" s="2">
        <v>14.2</v>
      </c>
    </row>
    <row r="44" spans="1:10" ht="21" customHeight="1" thickBot="1">
      <c r="A44" s="2" t="s">
        <v>61</v>
      </c>
      <c r="B44" s="4" t="s">
        <v>62</v>
      </c>
      <c r="C44" s="2" t="s">
        <v>64</v>
      </c>
      <c r="E44" s="2">
        <v>1430</v>
      </c>
      <c r="F44" s="2"/>
      <c r="G44" s="2">
        <v>29.89</v>
      </c>
      <c r="H44" s="2">
        <v>28.31</v>
      </c>
      <c r="I44" s="6">
        <v>29</v>
      </c>
      <c r="J44" s="2">
        <v>28.41</v>
      </c>
    </row>
    <row r="45" spans="1:10" ht="21" customHeight="1" thickBot="1">
      <c r="A45" s="2" t="s">
        <v>61</v>
      </c>
      <c r="B45" s="4" t="s">
        <v>65</v>
      </c>
      <c r="C45" s="2" t="s">
        <v>67</v>
      </c>
      <c r="F45" s="2"/>
      <c r="G45" s="2" t="s">
        <v>196</v>
      </c>
      <c r="I45" s="18">
        <v>55.53</v>
      </c>
    </row>
    <row r="46" spans="1:10" ht="21" customHeight="1" thickBot="1">
      <c r="A46" s="2" t="s">
        <v>61</v>
      </c>
      <c r="B46" s="4" t="s">
        <v>68</v>
      </c>
      <c r="C46" s="2" t="s">
        <v>70</v>
      </c>
      <c r="E46" s="2">
        <v>6870</v>
      </c>
      <c r="F46" s="2"/>
      <c r="G46" s="2">
        <v>143.36000000000001</v>
      </c>
      <c r="H46" s="2">
        <v>141.57</v>
      </c>
      <c r="I46" s="18">
        <v>138.84</v>
      </c>
      <c r="J46" s="2">
        <v>142.03</v>
      </c>
    </row>
    <row r="47" spans="1:10" ht="21" customHeight="1" thickBot="1">
      <c r="A47" s="2" t="s">
        <v>61</v>
      </c>
      <c r="B47" s="4" t="s">
        <v>71</v>
      </c>
      <c r="C47" s="2" t="s">
        <v>73</v>
      </c>
      <c r="F47" s="2"/>
      <c r="G47" s="2">
        <v>280</v>
      </c>
      <c r="I47" s="18">
        <v>277.69</v>
      </c>
    </row>
    <row r="48" spans="1:10" ht="21" customHeight="1" thickBot="1"/>
    <row r="49" spans="1:15" ht="21" customHeight="1" thickBot="1">
      <c r="A49" s="2" t="s">
        <v>243</v>
      </c>
      <c r="B49" s="4" t="s">
        <v>378</v>
      </c>
      <c r="C49" s="2" t="s">
        <v>236</v>
      </c>
      <c r="H49" s="11">
        <v>1.9</v>
      </c>
      <c r="I49" s="18">
        <v>1.9</v>
      </c>
      <c r="J49"/>
      <c r="K49">
        <v>2.0699999999999998</v>
      </c>
      <c r="N49"/>
    </row>
    <row r="50" spans="1:15" ht="21" customHeight="1" thickBot="1">
      <c r="A50" s="2" t="s">
        <v>243</v>
      </c>
      <c r="B50" s="4" t="s">
        <v>379</v>
      </c>
      <c r="C50" s="2" t="s">
        <v>377</v>
      </c>
      <c r="H50" s="11">
        <v>3.05</v>
      </c>
      <c r="I50" s="18">
        <v>3.04</v>
      </c>
      <c r="J50"/>
      <c r="K50"/>
      <c r="N50"/>
    </row>
    <row r="51" spans="1:15" ht="21" customHeight="1" thickBot="1">
      <c r="A51" s="2" t="s">
        <v>243</v>
      </c>
      <c r="B51" s="4" t="s">
        <v>240</v>
      </c>
      <c r="C51" s="2" t="s">
        <v>134</v>
      </c>
      <c r="E51" s="2">
        <v>370</v>
      </c>
      <c r="G51" s="2">
        <v>8.1199999999999992</v>
      </c>
      <c r="H51" s="11">
        <v>7.62</v>
      </c>
      <c r="I51" s="18">
        <v>7.62</v>
      </c>
      <c r="J51"/>
      <c r="K51"/>
      <c r="L51" s="2">
        <v>8.83</v>
      </c>
      <c r="M51" s="2">
        <f t="shared" ref="M51:M60" si="3">G51*42</f>
        <v>341.03999999999996</v>
      </c>
      <c r="N51"/>
      <c r="O51" s="2">
        <f t="shared" ref="O51:O60" si="4">E51-M51</f>
        <v>28.960000000000036</v>
      </c>
    </row>
    <row r="52" spans="1:15" ht="21" customHeight="1" thickBot="1">
      <c r="A52" s="2" t="s">
        <v>243</v>
      </c>
      <c r="B52" s="4" t="s">
        <v>260</v>
      </c>
      <c r="C52" s="2" t="s">
        <v>253</v>
      </c>
      <c r="E52" s="2">
        <v>460</v>
      </c>
      <c r="G52" s="2">
        <v>9.4</v>
      </c>
      <c r="H52" s="11">
        <v>8.9</v>
      </c>
      <c r="I52" s="18">
        <v>8.89</v>
      </c>
      <c r="J52"/>
      <c r="K52"/>
      <c r="L52" s="2">
        <f>0.71*2+G52</f>
        <v>10.82</v>
      </c>
      <c r="M52" s="2">
        <f t="shared" si="3"/>
        <v>394.8</v>
      </c>
      <c r="N52"/>
      <c r="O52" s="2">
        <f t="shared" si="4"/>
        <v>65.199999999999989</v>
      </c>
    </row>
    <row r="53" spans="1:15" ht="21" customHeight="1" thickBot="1">
      <c r="A53" s="2" t="s">
        <v>243</v>
      </c>
      <c r="B53" s="4" t="s">
        <v>241</v>
      </c>
      <c r="C53" s="2" t="s">
        <v>252</v>
      </c>
      <c r="E53" s="2">
        <v>510</v>
      </c>
      <c r="G53" s="2">
        <v>10.67</v>
      </c>
      <c r="H53" s="11">
        <v>10.17</v>
      </c>
      <c r="I53" s="18">
        <v>10.16</v>
      </c>
      <c r="J53"/>
      <c r="K53"/>
      <c r="L53" s="2">
        <f>0.71*2+G53</f>
        <v>12.09</v>
      </c>
      <c r="M53" s="2">
        <f t="shared" si="3"/>
        <v>448.14</v>
      </c>
      <c r="N53"/>
      <c r="O53" s="2">
        <f t="shared" si="4"/>
        <v>61.860000000000014</v>
      </c>
    </row>
    <row r="54" spans="1:15" ht="21" customHeight="1" thickBot="1">
      <c r="A54" s="2" t="s">
        <v>243</v>
      </c>
      <c r="B54" s="4" t="s">
        <v>242</v>
      </c>
      <c r="C54" s="2" t="s">
        <v>135</v>
      </c>
      <c r="E54" s="2">
        <v>620</v>
      </c>
      <c r="G54" s="2">
        <f>H54+0.5</f>
        <v>13.21</v>
      </c>
      <c r="H54" s="11">
        <v>12.71</v>
      </c>
      <c r="I54" s="18">
        <v>12.7</v>
      </c>
      <c r="J54"/>
      <c r="K54"/>
      <c r="L54" s="2">
        <f>0.71*2+G54</f>
        <v>14.63</v>
      </c>
      <c r="M54" s="2">
        <f t="shared" si="3"/>
        <v>554.82000000000005</v>
      </c>
      <c r="N54"/>
      <c r="O54" s="2">
        <f t="shared" si="4"/>
        <v>65.17999999999995</v>
      </c>
    </row>
    <row r="55" spans="1:15" ht="21" customHeight="1" thickBot="1">
      <c r="A55" s="2" t="s">
        <v>243</v>
      </c>
      <c r="B55" s="4" t="s">
        <v>261</v>
      </c>
      <c r="C55" s="2" t="s">
        <v>254</v>
      </c>
      <c r="E55" s="2">
        <v>750</v>
      </c>
      <c r="G55" s="2">
        <v>15.75</v>
      </c>
      <c r="H55" s="11">
        <v>15.25</v>
      </c>
      <c r="I55" s="18">
        <v>15.24</v>
      </c>
      <c r="J55"/>
      <c r="K55"/>
      <c r="L55" s="2">
        <f>0.71*3+G55</f>
        <v>17.88</v>
      </c>
      <c r="M55" s="2">
        <f t="shared" si="3"/>
        <v>661.5</v>
      </c>
      <c r="N55"/>
      <c r="O55" s="2">
        <f t="shared" si="4"/>
        <v>88.5</v>
      </c>
    </row>
    <row r="56" spans="1:15" ht="21" customHeight="1" thickBot="1">
      <c r="A56" s="2" t="s">
        <v>243</v>
      </c>
      <c r="B56" s="4" t="s">
        <v>262</v>
      </c>
      <c r="C56" s="2" t="s">
        <v>255</v>
      </c>
      <c r="E56" s="2">
        <v>1000</v>
      </c>
      <c r="G56" s="2">
        <v>20.84</v>
      </c>
      <c r="H56" s="11">
        <v>20.34</v>
      </c>
      <c r="I56" s="18">
        <v>20.329999999999998</v>
      </c>
      <c r="J56"/>
      <c r="K56"/>
      <c r="L56" s="2">
        <f>0.71*4+G56</f>
        <v>23.68</v>
      </c>
      <c r="M56" s="2">
        <f t="shared" si="3"/>
        <v>875.28</v>
      </c>
      <c r="N56"/>
      <c r="O56" s="2">
        <f t="shared" si="4"/>
        <v>124.72000000000003</v>
      </c>
    </row>
    <row r="57" spans="1:15" ht="21" customHeight="1" thickBot="1">
      <c r="A57" s="2" t="s">
        <v>243</v>
      </c>
      <c r="B57" s="4" t="s">
        <v>263</v>
      </c>
      <c r="C57" s="2" t="s">
        <v>256</v>
      </c>
      <c r="E57" s="2">
        <v>1240</v>
      </c>
      <c r="G57" s="2">
        <v>25.92</v>
      </c>
      <c r="H57" s="11">
        <v>25.42</v>
      </c>
      <c r="I57" s="18">
        <v>25.41</v>
      </c>
      <c r="J57"/>
      <c r="K57"/>
      <c r="L57" s="2">
        <f>0.71*5+G57</f>
        <v>29.470000000000002</v>
      </c>
      <c r="M57" s="2">
        <f t="shared" si="3"/>
        <v>1088.6400000000001</v>
      </c>
      <c r="N57"/>
      <c r="O57" s="2">
        <f t="shared" si="4"/>
        <v>151.3599999999999</v>
      </c>
    </row>
    <row r="58" spans="1:15" ht="21" customHeight="1" thickBot="1">
      <c r="A58" s="2" t="s">
        <v>243</v>
      </c>
      <c r="B58" s="4" t="s">
        <v>264</v>
      </c>
      <c r="C58" s="2" t="s">
        <v>257</v>
      </c>
      <c r="E58" s="2">
        <v>1480</v>
      </c>
      <c r="G58" s="2">
        <v>31.01</v>
      </c>
      <c r="H58" s="11">
        <v>30.51</v>
      </c>
      <c r="I58" s="18">
        <v>30.49</v>
      </c>
      <c r="J58"/>
      <c r="K58"/>
      <c r="L58" s="2">
        <f>0.71*6+G58</f>
        <v>35.270000000000003</v>
      </c>
      <c r="M58" s="2">
        <f t="shared" si="3"/>
        <v>1302.42</v>
      </c>
      <c r="N58"/>
      <c r="O58" s="2">
        <f t="shared" si="4"/>
        <v>177.57999999999993</v>
      </c>
    </row>
    <row r="59" spans="1:15" ht="21" customHeight="1" thickBot="1">
      <c r="A59" s="2" t="s">
        <v>243</v>
      </c>
      <c r="B59" s="4" t="s">
        <v>265</v>
      </c>
      <c r="C59" s="2" t="s">
        <v>258</v>
      </c>
      <c r="E59" s="2">
        <v>1590</v>
      </c>
      <c r="G59" s="2">
        <v>33.549999999999997</v>
      </c>
      <c r="H59" s="11">
        <v>33.049999999999997</v>
      </c>
      <c r="I59" s="18">
        <v>33.04</v>
      </c>
      <c r="J59"/>
      <c r="K59"/>
      <c r="L59" s="2">
        <f>0.71*6+G59</f>
        <v>37.809999999999995</v>
      </c>
      <c r="M59" s="2">
        <f t="shared" si="3"/>
        <v>1409.1</v>
      </c>
      <c r="N59"/>
      <c r="O59" s="2">
        <f t="shared" si="4"/>
        <v>180.90000000000009</v>
      </c>
    </row>
    <row r="60" spans="1:15" ht="21" customHeight="1" thickBot="1">
      <c r="A60" s="2" t="s">
        <v>243</v>
      </c>
      <c r="B60" s="4" t="s">
        <v>266</v>
      </c>
      <c r="C60" s="2" t="s">
        <v>259</v>
      </c>
      <c r="E60" s="2">
        <v>1820</v>
      </c>
      <c r="G60" s="2">
        <v>38.24</v>
      </c>
      <c r="H60" s="11">
        <v>38.14</v>
      </c>
      <c r="I60" s="18">
        <v>38.119999999999997</v>
      </c>
      <c r="J60"/>
      <c r="K60"/>
      <c r="L60" s="2">
        <f>0.71*7+G60</f>
        <v>43.21</v>
      </c>
      <c r="M60" s="2">
        <f t="shared" si="3"/>
        <v>1606.0800000000002</v>
      </c>
      <c r="N60"/>
      <c r="O60" s="2">
        <f t="shared" si="4"/>
        <v>213.91999999999985</v>
      </c>
    </row>
    <row r="61" spans="1:15" ht="21" customHeight="1" thickBot="1">
      <c r="I61" s="6"/>
      <c r="J61"/>
      <c r="K61"/>
      <c r="N61"/>
    </row>
    <row r="62" spans="1:15" ht="21" customHeight="1" thickBot="1">
      <c r="A62" s="2" t="s">
        <v>251</v>
      </c>
      <c r="B62" s="4" t="s">
        <v>244</v>
      </c>
      <c r="C62" s="2" t="s">
        <v>6</v>
      </c>
      <c r="E62" s="2">
        <v>270</v>
      </c>
      <c r="G62" s="2">
        <v>6</v>
      </c>
      <c r="H62" s="11">
        <v>5.94</v>
      </c>
      <c r="I62" s="6"/>
      <c r="J62"/>
      <c r="K62"/>
      <c r="N62"/>
    </row>
    <row r="63" spans="1:15" ht="21" customHeight="1" thickBot="1">
      <c r="A63" s="2" t="s">
        <v>251</v>
      </c>
      <c r="B63" s="4" t="s">
        <v>245</v>
      </c>
      <c r="C63" s="2" t="s">
        <v>10</v>
      </c>
      <c r="E63" s="2">
        <v>530</v>
      </c>
      <c r="G63" s="2">
        <v>12</v>
      </c>
      <c r="H63" s="11">
        <v>11.89</v>
      </c>
      <c r="I63" s="6"/>
      <c r="J63"/>
      <c r="K63"/>
      <c r="N63"/>
    </row>
    <row r="64" spans="1:15" ht="21" customHeight="1" thickBot="1">
      <c r="A64" s="2" t="s">
        <v>251</v>
      </c>
      <c r="B64" s="4" t="s">
        <v>246</v>
      </c>
      <c r="C64" s="2" t="s">
        <v>14</v>
      </c>
      <c r="E64" s="2">
        <v>1050</v>
      </c>
      <c r="G64" s="2">
        <v>24</v>
      </c>
      <c r="H64" s="11">
        <v>23.78</v>
      </c>
      <c r="I64" s="6"/>
      <c r="J64"/>
      <c r="K64"/>
      <c r="N64"/>
    </row>
    <row r="65" spans="1:14" ht="21" customHeight="1" thickBot="1">
      <c r="A65" s="2" t="s">
        <v>251</v>
      </c>
      <c r="B65" s="4" t="s">
        <v>247</v>
      </c>
      <c r="C65" s="2" t="s">
        <v>17</v>
      </c>
      <c r="E65" s="2">
        <v>2570</v>
      </c>
      <c r="G65" s="2">
        <v>60</v>
      </c>
      <c r="H65" s="11">
        <v>59.44</v>
      </c>
      <c r="I65" s="6"/>
      <c r="J65"/>
      <c r="K65"/>
      <c r="N65"/>
    </row>
    <row r="66" spans="1:14" ht="21" customHeight="1" thickBot="1">
      <c r="A66" s="2" t="s">
        <v>251</v>
      </c>
      <c r="B66" s="4" t="s">
        <v>248</v>
      </c>
      <c r="C66" s="2" t="s">
        <v>236</v>
      </c>
      <c r="E66" s="2">
        <v>3830</v>
      </c>
      <c r="G66" s="2">
        <v>90</v>
      </c>
      <c r="H66" s="11">
        <v>89.16</v>
      </c>
      <c r="I66" s="6"/>
      <c r="J66"/>
      <c r="K66"/>
      <c r="N66"/>
    </row>
    <row r="67" spans="1:14" ht="21" customHeight="1" thickBot="1">
      <c r="A67" s="2" t="s">
        <v>251</v>
      </c>
      <c r="B67" s="4" t="s">
        <v>249</v>
      </c>
      <c r="C67" s="2" t="s">
        <v>20</v>
      </c>
      <c r="E67" s="2">
        <v>5050</v>
      </c>
      <c r="G67" s="2">
        <v>119</v>
      </c>
      <c r="H67" s="11">
        <v>118.88</v>
      </c>
      <c r="I67" s="6"/>
      <c r="J67"/>
      <c r="K67"/>
      <c r="N67"/>
    </row>
    <row r="68" spans="1:14" ht="21" customHeight="1" thickBot="1">
      <c r="A68" s="2" t="s">
        <v>251</v>
      </c>
      <c r="B68" s="4" t="s">
        <v>250</v>
      </c>
      <c r="C68" s="2" t="s">
        <v>131</v>
      </c>
      <c r="E68" s="2">
        <v>7570</v>
      </c>
      <c r="G68" s="2">
        <v>179</v>
      </c>
      <c r="H68" s="11">
        <v>178.32</v>
      </c>
      <c r="I68" s="6"/>
      <c r="J68"/>
      <c r="K68"/>
      <c r="N68"/>
    </row>
    <row r="69" spans="1:14" ht="21" customHeight="1" thickBot="1">
      <c r="I69" s="6"/>
      <c r="J69"/>
      <c r="K69"/>
      <c r="N69"/>
    </row>
    <row r="70" spans="1:14" ht="21" customHeight="1">
      <c r="A70" s="1"/>
      <c r="B70" s="1"/>
      <c r="C70" s="1"/>
      <c r="D70" s="1"/>
      <c r="E70" s="1"/>
      <c r="F70" s="2"/>
      <c r="H70" s="1"/>
      <c r="J70" s="1"/>
      <c r="K70" s="1"/>
    </row>
    <row r="71" spans="1:14" ht="21" customHeight="1">
      <c r="F71" s="2"/>
    </row>
    <row r="77" spans="1:14" ht="21" customHeight="1">
      <c r="A77" s="1"/>
      <c r="B77" s="1"/>
      <c r="C77" s="1"/>
      <c r="D77" s="1"/>
      <c r="E77" s="1"/>
      <c r="F77" s="2"/>
      <c r="H77" s="1"/>
      <c r="J77" s="1"/>
      <c r="K77" s="1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P68"/>
  <sheetViews>
    <sheetView zoomScale="85" zoomScaleNormal="85" workbookViewId="0">
      <pane ySplit="1" topLeftCell="A50" activePane="bottomLeft" state="frozen"/>
      <selection activeCell="C1" sqref="C1"/>
      <selection pane="bottomLeft" activeCell="I44" sqref="I44"/>
    </sheetView>
  </sheetViews>
  <sheetFormatPr baseColWidth="10" defaultColWidth="15.42578125" defaultRowHeight="21" customHeight="1"/>
  <cols>
    <col min="1" max="1" width="15.42578125" style="2"/>
    <col min="2" max="2" width="28.42578125" style="4" customWidth="1"/>
    <col min="3" max="3" width="16" style="2" customWidth="1"/>
    <col min="4" max="4" width="20.42578125" style="2" customWidth="1"/>
    <col min="5" max="5" width="21.85546875" style="2" customWidth="1"/>
    <col min="6" max="6" width="19.85546875" style="2" customWidth="1"/>
    <col min="7" max="7" width="15.42578125" style="2"/>
    <col min="8" max="8" width="25" style="2" customWidth="1"/>
    <col min="9" max="11" width="25.28515625" style="2" customWidth="1"/>
    <col min="12" max="12" width="15.42578125" style="2"/>
    <col min="13" max="13" width="20.42578125" style="2" customWidth="1"/>
    <col min="15" max="16384" width="15.42578125" style="2"/>
  </cols>
  <sheetData>
    <row r="1" spans="1:13" ht="21" customHeight="1">
      <c r="A1" s="1" t="s">
        <v>74</v>
      </c>
      <c r="B1" s="1" t="s">
        <v>0</v>
      </c>
      <c r="C1" s="1" t="s">
        <v>5</v>
      </c>
      <c r="D1" s="2" t="s">
        <v>291</v>
      </c>
      <c r="E1" s="1" t="s">
        <v>4</v>
      </c>
      <c r="F1" s="1" t="s">
        <v>348</v>
      </c>
      <c r="G1" s="2" t="s">
        <v>153</v>
      </c>
      <c r="H1" s="1" t="s">
        <v>129</v>
      </c>
      <c r="I1" s="1" t="s">
        <v>195</v>
      </c>
      <c r="J1" s="1" t="s">
        <v>294</v>
      </c>
      <c r="K1" s="1" t="s">
        <v>301</v>
      </c>
      <c r="L1" s="2" t="s">
        <v>292</v>
      </c>
      <c r="M1" s="1" t="s">
        <v>11</v>
      </c>
    </row>
    <row r="2" spans="1:13" ht="21" customHeight="1">
      <c r="A2" s="1"/>
      <c r="C2" s="1"/>
      <c r="D2" s="2">
        <f>E2-F2</f>
        <v>0</v>
      </c>
      <c r="E2" s="1"/>
      <c r="F2" s="1">
        <f>G2*42</f>
        <v>0</v>
      </c>
      <c r="H2" s="1"/>
      <c r="I2" s="1"/>
      <c r="J2" s="1"/>
      <c r="K2" s="1"/>
      <c r="M2" s="1"/>
    </row>
    <row r="3" spans="1:13" ht="21" customHeight="1">
      <c r="A3" s="1"/>
      <c r="B3" s="4" t="s">
        <v>299</v>
      </c>
      <c r="C3" s="1" t="s">
        <v>338</v>
      </c>
      <c r="D3" s="2">
        <f>E3-F3</f>
        <v>20.86</v>
      </c>
      <c r="E3" s="1">
        <v>112</v>
      </c>
      <c r="F3" s="1">
        <f>G3*42</f>
        <v>91.14</v>
      </c>
      <c r="G3" s="2">
        <v>2.17</v>
      </c>
      <c r="H3" s="1">
        <v>1.98</v>
      </c>
      <c r="I3" s="1">
        <v>2.06</v>
      </c>
      <c r="J3" s="1">
        <v>2.0699999999999998</v>
      </c>
      <c r="K3" s="1"/>
      <c r="L3" s="2">
        <f>((G3/5)*0.71)+G3</f>
        <v>2.4781399999999998</v>
      </c>
      <c r="M3" s="1"/>
    </row>
    <row r="4" spans="1:13" ht="21" customHeight="1">
      <c r="B4" s="4" t="s">
        <v>299</v>
      </c>
      <c r="C4" s="11" t="s">
        <v>6</v>
      </c>
      <c r="D4" s="2">
        <f t="shared" ref="D4:D59" si="0">E4-F4</f>
        <v>36.319999999999993</v>
      </c>
      <c r="E4" s="2">
        <v>290</v>
      </c>
      <c r="F4" s="1">
        <f t="shared" ref="F4:F59" si="1">G4*42</f>
        <v>253.68</v>
      </c>
      <c r="G4" s="2">
        <v>6.04</v>
      </c>
      <c r="H4" s="2">
        <v>4.96</v>
      </c>
      <c r="I4" s="2">
        <v>5.15</v>
      </c>
      <c r="J4" s="2">
        <v>5.18</v>
      </c>
      <c r="K4" s="2">
        <v>5</v>
      </c>
      <c r="L4" s="2">
        <f>((G4/5)*0.71)+G4</f>
        <v>6.8976800000000003</v>
      </c>
    </row>
    <row r="5" spans="1:13" ht="21" customHeight="1">
      <c r="B5" s="4" t="s">
        <v>299</v>
      </c>
      <c r="C5" s="11" t="s">
        <v>10</v>
      </c>
      <c r="D5" s="2">
        <f t="shared" si="0"/>
        <v>66.660000000000025</v>
      </c>
      <c r="E5" s="2">
        <v>540</v>
      </c>
      <c r="F5" s="1">
        <f t="shared" si="1"/>
        <v>473.34</v>
      </c>
      <c r="G5" s="2">
        <v>11.27</v>
      </c>
      <c r="H5" s="2">
        <v>9.93</v>
      </c>
      <c r="I5" s="2">
        <v>10</v>
      </c>
      <c r="J5" s="2">
        <v>10.38</v>
      </c>
      <c r="K5" s="2">
        <v>10</v>
      </c>
      <c r="L5" s="2">
        <f t="shared" ref="L5:L15" si="2">((G5/5)*0.71)+G5</f>
        <v>12.870339999999999</v>
      </c>
    </row>
    <row r="6" spans="1:13" ht="21" customHeight="1">
      <c r="B6" s="4" t="s">
        <v>299</v>
      </c>
      <c r="C6" s="11" t="s">
        <v>80</v>
      </c>
      <c r="D6" s="2">
        <f t="shared" si="0"/>
        <v>160.20000000000005</v>
      </c>
      <c r="E6" s="2">
        <v>1290</v>
      </c>
      <c r="F6" s="1">
        <f t="shared" si="1"/>
        <v>1129.8</v>
      </c>
      <c r="G6" s="2">
        <v>26.9</v>
      </c>
      <c r="H6" s="2">
        <v>23.11</v>
      </c>
      <c r="I6" s="2">
        <v>25.7</v>
      </c>
      <c r="J6" s="2">
        <v>25.96</v>
      </c>
      <c r="K6" s="2">
        <v>25</v>
      </c>
      <c r="L6" s="2">
        <f t="shared" si="2"/>
        <v>30.719799999999999</v>
      </c>
    </row>
    <row r="7" spans="1:13" ht="21" customHeight="1">
      <c r="B7" s="4" t="s">
        <v>299</v>
      </c>
      <c r="C7" s="11" t="s">
        <v>17</v>
      </c>
      <c r="D7" s="2">
        <f t="shared" si="0"/>
        <v>310.79999999999973</v>
      </c>
      <c r="E7" s="2">
        <v>2520</v>
      </c>
      <c r="F7" s="1">
        <f t="shared" si="1"/>
        <v>2209.2000000000003</v>
      </c>
      <c r="G7" s="2">
        <v>52.6</v>
      </c>
      <c r="H7" s="2">
        <v>49.67</v>
      </c>
      <c r="I7" s="2">
        <v>51.4</v>
      </c>
      <c r="J7" s="2">
        <v>51.92</v>
      </c>
      <c r="K7" s="2">
        <v>50</v>
      </c>
      <c r="L7" s="2">
        <f t="shared" si="2"/>
        <v>60.069200000000002</v>
      </c>
    </row>
    <row r="8" spans="1:13" ht="21" customHeight="1">
      <c r="B8" s="4" t="s">
        <v>299</v>
      </c>
      <c r="C8" s="11" t="s">
        <v>20</v>
      </c>
      <c r="D8" s="2">
        <f t="shared" si="0"/>
        <v>622.42000000000007</v>
      </c>
      <c r="E8" s="2">
        <v>4990</v>
      </c>
      <c r="F8" s="1">
        <f>G8*42</f>
        <v>4367.58</v>
      </c>
      <c r="G8" s="2">
        <v>103.99</v>
      </c>
      <c r="H8" s="2">
        <v>91.72</v>
      </c>
      <c r="I8" s="2">
        <v>102.79</v>
      </c>
      <c r="J8" s="2">
        <v>100.7</v>
      </c>
      <c r="K8" s="2">
        <v>100</v>
      </c>
      <c r="L8" s="2">
        <f t="shared" si="2"/>
        <v>118.75657999999999</v>
      </c>
    </row>
    <row r="9" spans="1:13" ht="21" customHeight="1">
      <c r="C9" s="11"/>
      <c r="D9" s="2">
        <f t="shared" si="0"/>
        <v>0</v>
      </c>
      <c r="F9" s="1"/>
      <c r="L9" s="2">
        <f t="shared" si="2"/>
        <v>0</v>
      </c>
    </row>
    <row r="10" spans="1:13" ht="21" customHeight="1">
      <c r="B10" s="4" t="s">
        <v>300</v>
      </c>
      <c r="C10" s="11" t="s">
        <v>338</v>
      </c>
      <c r="D10" s="2">
        <f t="shared" si="0"/>
        <v>19.180000000000007</v>
      </c>
      <c r="E10" s="2">
        <v>112</v>
      </c>
      <c r="F10" s="1">
        <f t="shared" si="1"/>
        <v>92.82</v>
      </c>
      <c r="G10" s="2">
        <v>2.21</v>
      </c>
      <c r="H10" s="2">
        <v>1.98</v>
      </c>
      <c r="I10" s="2">
        <v>2.06</v>
      </c>
      <c r="J10" s="2">
        <v>2.11</v>
      </c>
      <c r="L10" s="2">
        <f t="shared" si="2"/>
        <v>2.5238199999999997</v>
      </c>
    </row>
    <row r="11" spans="1:13" ht="21" customHeight="1">
      <c r="B11" s="4" t="s">
        <v>300</v>
      </c>
      <c r="C11" s="11" t="s">
        <v>6</v>
      </c>
      <c r="D11" s="2">
        <f t="shared" si="0"/>
        <v>35.900000000000006</v>
      </c>
      <c r="E11" s="2">
        <v>290</v>
      </c>
      <c r="F11" s="1">
        <f t="shared" si="1"/>
        <v>254.1</v>
      </c>
      <c r="G11" s="2">
        <v>6.05</v>
      </c>
      <c r="H11" s="2">
        <v>4.96</v>
      </c>
      <c r="I11" s="2">
        <v>5.15</v>
      </c>
      <c r="J11" s="2">
        <v>5.26</v>
      </c>
      <c r="K11" s="2">
        <v>5</v>
      </c>
      <c r="L11" s="2">
        <f t="shared" si="2"/>
        <v>6.9090999999999996</v>
      </c>
    </row>
    <row r="12" spans="1:13" ht="21" customHeight="1">
      <c r="B12" s="4" t="s">
        <v>300</v>
      </c>
      <c r="C12" s="11" t="s">
        <v>10</v>
      </c>
      <c r="D12" s="2">
        <f t="shared" si="0"/>
        <v>66.579999999999984</v>
      </c>
      <c r="E12" s="2">
        <v>550</v>
      </c>
      <c r="F12" s="1">
        <f t="shared" si="1"/>
        <v>483.42</v>
      </c>
      <c r="G12" s="2">
        <v>11.51</v>
      </c>
      <c r="H12" s="2">
        <v>9.93</v>
      </c>
      <c r="I12" s="2">
        <v>10.31</v>
      </c>
      <c r="J12" s="2">
        <v>10.52</v>
      </c>
      <c r="K12" s="2">
        <v>10</v>
      </c>
      <c r="L12" s="2">
        <f t="shared" si="2"/>
        <v>13.14442</v>
      </c>
    </row>
    <row r="13" spans="1:13" ht="21" customHeight="1">
      <c r="B13" s="4" t="s">
        <v>300</v>
      </c>
      <c r="C13" s="11" t="s">
        <v>80</v>
      </c>
      <c r="D13" s="2">
        <f t="shared" si="0"/>
        <v>158.51999999999998</v>
      </c>
      <c r="E13" s="2">
        <v>1290</v>
      </c>
      <c r="F13" s="1">
        <f t="shared" si="1"/>
        <v>1131.48</v>
      </c>
      <c r="G13" s="2">
        <v>26.94</v>
      </c>
      <c r="H13" s="2">
        <v>24.83</v>
      </c>
      <c r="I13" s="2">
        <v>25.74</v>
      </c>
      <c r="J13" s="2">
        <v>26.35</v>
      </c>
      <c r="K13" s="2">
        <v>25</v>
      </c>
      <c r="L13" s="2">
        <f t="shared" si="2"/>
        <v>30.76548</v>
      </c>
    </row>
    <row r="14" spans="1:13" ht="21" customHeight="1">
      <c r="B14" s="4" t="s">
        <v>300</v>
      </c>
      <c r="C14" s="11" t="s">
        <v>17</v>
      </c>
      <c r="D14" s="2">
        <f t="shared" si="0"/>
        <v>324.94000000000005</v>
      </c>
      <c r="E14" s="2">
        <v>2590</v>
      </c>
      <c r="F14" s="1">
        <f t="shared" si="1"/>
        <v>2265.06</v>
      </c>
      <c r="G14" s="2">
        <v>53.93</v>
      </c>
      <c r="H14" s="2">
        <v>49.67</v>
      </c>
      <c r="I14" s="2">
        <v>49</v>
      </c>
      <c r="J14" s="2">
        <v>52.73</v>
      </c>
      <c r="K14" s="2">
        <v>50</v>
      </c>
      <c r="L14" s="2">
        <f t="shared" si="2"/>
        <v>61.588059999999999</v>
      </c>
    </row>
    <row r="15" spans="1:13" ht="21" customHeight="1">
      <c r="B15" s="4" t="s">
        <v>300</v>
      </c>
      <c r="C15" s="11" t="s">
        <v>20</v>
      </c>
      <c r="D15" s="2">
        <f t="shared" si="0"/>
        <v>613</v>
      </c>
      <c r="E15" s="2">
        <v>4960</v>
      </c>
      <c r="F15" s="1">
        <f t="shared" si="1"/>
        <v>4347</v>
      </c>
      <c r="G15" s="2">
        <v>103.5</v>
      </c>
      <c r="H15" s="2">
        <v>93.2</v>
      </c>
      <c r="I15" s="2">
        <v>98</v>
      </c>
      <c r="J15" s="2">
        <v>102.3</v>
      </c>
      <c r="K15" s="2">
        <v>100</v>
      </c>
      <c r="L15" s="2">
        <f t="shared" si="2"/>
        <v>118.197</v>
      </c>
    </row>
    <row r="16" spans="1:13" ht="21" customHeight="1">
      <c r="D16" s="2">
        <f t="shared" si="0"/>
        <v>0</v>
      </c>
      <c r="F16" s="1"/>
    </row>
    <row r="17" spans="2:13" ht="21" customHeight="1">
      <c r="B17" s="4" t="s">
        <v>382</v>
      </c>
      <c r="C17" s="3"/>
      <c r="D17" s="2">
        <f t="shared" si="0"/>
        <v>0</v>
      </c>
      <c r="F17" s="1"/>
    </row>
    <row r="18" spans="2:13" ht="21" customHeight="1">
      <c r="B18" s="1"/>
      <c r="C18" s="1"/>
      <c r="D18" s="2">
        <f t="shared" si="0"/>
        <v>0</v>
      </c>
      <c r="E18" s="1"/>
      <c r="F18" s="1"/>
      <c r="H18" s="1"/>
      <c r="I18" s="1"/>
      <c r="J18" s="1"/>
      <c r="K18" s="1"/>
      <c r="M18" s="1"/>
    </row>
    <row r="19" spans="2:13" ht="21" customHeight="1">
      <c r="B19" s="4" t="s">
        <v>333</v>
      </c>
      <c r="C19" s="1" t="s">
        <v>337</v>
      </c>
      <c r="D19" s="2">
        <f t="shared" si="0"/>
        <v>12.5</v>
      </c>
      <c r="E19" s="1">
        <v>65</v>
      </c>
      <c r="F19" s="1">
        <f>G19*42</f>
        <v>52.5</v>
      </c>
      <c r="G19" s="2">
        <v>1.25</v>
      </c>
      <c r="H19" s="1">
        <v>0.99</v>
      </c>
      <c r="I19" s="1">
        <v>0.98</v>
      </c>
      <c r="J19" s="1">
        <v>1.04</v>
      </c>
      <c r="K19" s="1">
        <v>1.05</v>
      </c>
      <c r="M19" s="1"/>
    </row>
    <row r="20" spans="2:13" ht="21" customHeight="1">
      <c r="B20" s="4" t="s">
        <v>334</v>
      </c>
      <c r="C20" s="1" t="s">
        <v>338</v>
      </c>
      <c r="D20" s="2">
        <f t="shared" si="0"/>
        <v>29.200000000000003</v>
      </c>
      <c r="E20" s="1">
        <v>130</v>
      </c>
      <c r="F20" s="1">
        <f>G20*42</f>
        <v>100.8</v>
      </c>
      <c r="G20" s="2">
        <v>2.4</v>
      </c>
      <c r="H20" s="1">
        <v>1.99</v>
      </c>
      <c r="I20" s="1">
        <v>1.96</v>
      </c>
      <c r="J20" s="1">
        <v>2.0699999999999998</v>
      </c>
      <c r="K20" s="1">
        <v>2.1</v>
      </c>
      <c r="M20" s="1"/>
    </row>
    <row r="21" spans="2:13" ht="21" customHeight="1">
      <c r="B21" s="4" t="s">
        <v>332</v>
      </c>
      <c r="C21" s="2" t="s">
        <v>6</v>
      </c>
      <c r="D21" s="2">
        <f t="shared" si="0"/>
        <v>29.760000000000019</v>
      </c>
      <c r="E21" s="2">
        <v>270</v>
      </c>
      <c r="F21" s="1">
        <f t="shared" si="1"/>
        <v>240.23999999999998</v>
      </c>
      <c r="G21" s="2">
        <v>5.72</v>
      </c>
      <c r="H21" s="2">
        <v>4.99</v>
      </c>
      <c r="I21" s="2">
        <v>4.9000000000000004</v>
      </c>
      <c r="J21" s="2">
        <v>5.18</v>
      </c>
      <c r="K21" s="2">
        <v>5.25</v>
      </c>
      <c r="L21" s="2">
        <v>6.43</v>
      </c>
    </row>
    <row r="22" spans="2:13" ht="21" customHeight="1">
      <c r="B22" s="4" t="s">
        <v>297</v>
      </c>
      <c r="C22" s="2" t="s">
        <v>10</v>
      </c>
      <c r="D22" s="2">
        <f t="shared" si="0"/>
        <v>57.660000000000025</v>
      </c>
      <c r="E22" s="2">
        <v>510</v>
      </c>
      <c r="F22" s="1">
        <f t="shared" si="1"/>
        <v>452.34</v>
      </c>
      <c r="G22" s="2">
        <v>10.77</v>
      </c>
      <c r="H22" s="2">
        <v>9.98</v>
      </c>
      <c r="I22" s="2">
        <v>9.8000000000000007</v>
      </c>
      <c r="J22" s="2">
        <v>10.37</v>
      </c>
      <c r="K22" s="2">
        <v>10.5</v>
      </c>
      <c r="L22" s="2">
        <v>12.19</v>
      </c>
    </row>
    <row r="23" spans="2:13" ht="21" customHeight="1">
      <c r="B23" s="4" t="s">
        <v>298</v>
      </c>
      <c r="C23" s="2" t="s">
        <v>14</v>
      </c>
      <c r="D23" s="2">
        <f t="shared" si="0"/>
        <v>114.29999999999995</v>
      </c>
      <c r="E23" s="2">
        <v>990</v>
      </c>
      <c r="F23" s="1">
        <f t="shared" si="1"/>
        <v>875.7</v>
      </c>
      <c r="G23" s="2">
        <v>20.85</v>
      </c>
      <c r="H23" s="2">
        <v>19.97</v>
      </c>
      <c r="I23" s="2">
        <v>19.600000000000001</v>
      </c>
      <c r="J23" s="2">
        <v>20.76</v>
      </c>
      <c r="K23" s="2">
        <v>21</v>
      </c>
      <c r="L23" s="2">
        <v>23.7</v>
      </c>
    </row>
    <row r="24" spans="2:13" ht="21" customHeight="1">
      <c r="B24" s="4" t="s">
        <v>366</v>
      </c>
      <c r="C24" s="2" t="s">
        <v>10</v>
      </c>
      <c r="D24" s="2">
        <f t="shared" si="0"/>
        <v>66.399999999999977</v>
      </c>
      <c r="E24" s="2">
        <v>520</v>
      </c>
      <c r="F24" s="1">
        <f t="shared" si="1"/>
        <v>453.6</v>
      </c>
      <c r="G24" s="2">
        <v>10.8</v>
      </c>
      <c r="K24" s="2">
        <v>10.5</v>
      </c>
      <c r="L24" s="2">
        <f>((G24/5)*0.71)+G24</f>
        <v>12.333600000000001</v>
      </c>
    </row>
    <row r="25" spans="2:13" ht="21" customHeight="1">
      <c r="B25" s="4" t="s">
        <v>367</v>
      </c>
      <c r="C25" s="2" t="s">
        <v>14</v>
      </c>
      <c r="D25" s="2">
        <f t="shared" si="0"/>
        <v>125.39999999999998</v>
      </c>
      <c r="E25" s="2">
        <v>1020</v>
      </c>
      <c r="F25" s="1">
        <f t="shared" si="1"/>
        <v>894.6</v>
      </c>
      <c r="G25" s="2">
        <v>21.3</v>
      </c>
      <c r="K25" s="2">
        <v>21</v>
      </c>
      <c r="L25" s="2">
        <f t="shared" ref="L25:L39" si="3">((G25/5)*0.71)+G25</f>
        <v>24.3246</v>
      </c>
    </row>
    <row r="26" spans="2:13" ht="21" customHeight="1">
      <c r="B26" s="4" t="s">
        <v>368</v>
      </c>
      <c r="C26" s="2" t="s">
        <v>17</v>
      </c>
      <c r="D26" s="2">
        <f t="shared" si="0"/>
        <v>302.40000000000009</v>
      </c>
      <c r="E26" s="2">
        <v>2520</v>
      </c>
      <c r="F26" s="1">
        <f t="shared" si="1"/>
        <v>2217.6</v>
      </c>
      <c r="G26" s="2">
        <v>52.8</v>
      </c>
      <c r="K26" s="2">
        <v>52.5</v>
      </c>
      <c r="L26" s="2">
        <f t="shared" si="3"/>
        <v>60.297599999999996</v>
      </c>
    </row>
    <row r="27" spans="2:13" ht="21" customHeight="1">
      <c r="B27" s="4" t="s">
        <v>369</v>
      </c>
      <c r="C27" s="2" t="s">
        <v>20</v>
      </c>
      <c r="D27" s="2">
        <f t="shared" si="0"/>
        <v>607.40000000000055</v>
      </c>
      <c r="E27" s="2">
        <v>5030</v>
      </c>
      <c r="F27" s="1">
        <f t="shared" si="1"/>
        <v>4422.5999999999995</v>
      </c>
      <c r="G27" s="2">
        <v>105.3</v>
      </c>
      <c r="K27" s="2">
        <v>105</v>
      </c>
      <c r="L27" s="2">
        <f t="shared" si="3"/>
        <v>120.2526</v>
      </c>
    </row>
    <row r="28" spans="2:13" ht="21" customHeight="1">
      <c r="B28" s="4" t="s">
        <v>370</v>
      </c>
      <c r="C28" s="2" t="s">
        <v>20</v>
      </c>
      <c r="D28" s="2">
        <f t="shared" si="0"/>
        <v>607.40000000000055</v>
      </c>
      <c r="E28" s="2">
        <v>5030</v>
      </c>
      <c r="F28" s="1">
        <f t="shared" si="1"/>
        <v>4422.5999999999995</v>
      </c>
      <c r="G28" s="2">
        <v>105.3</v>
      </c>
      <c r="K28" s="2">
        <v>105</v>
      </c>
      <c r="L28" s="2">
        <f t="shared" si="3"/>
        <v>120.2526</v>
      </c>
    </row>
    <row r="29" spans="2:13" ht="21" customHeight="1">
      <c r="F29" s="1"/>
      <c r="L29" s="2">
        <f t="shared" si="3"/>
        <v>0</v>
      </c>
    </row>
    <row r="30" spans="2:13" ht="21" customHeight="1">
      <c r="D30" s="2">
        <f t="shared" si="0"/>
        <v>0</v>
      </c>
      <c r="F30" s="1"/>
      <c r="L30" s="2">
        <f t="shared" si="3"/>
        <v>0</v>
      </c>
    </row>
    <row r="31" spans="2:13" ht="21" customHeight="1">
      <c r="B31" s="5"/>
      <c r="C31" s="3"/>
      <c r="D31" s="2">
        <f t="shared" si="0"/>
        <v>0</v>
      </c>
      <c r="F31" s="1"/>
      <c r="L31" s="2">
        <f t="shared" si="3"/>
        <v>0</v>
      </c>
    </row>
    <row r="32" spans="2:13" ht="21" customHeight="1">
      <c r="D32" s="2">
        <f t="shared" si="0"/>
        <v>0</v>
      </c>
      <c r="F32" s="1"/>
      <c r="L32" s="2">
        <f t="shared" si="3"/>
        <v>0</v>
      </c>
    </row>
    <row r="33" spans="1:16" ht="21" customHeight="1">
      <c r="B33" s="4" t="s">
        <v>154</v>
      </c>
      <c r="C33" s="2" t="s">
        <v>162</v>
      </c>
      <c r="D33" s="2">
        <f t="shared" si="0"/>
        <v>8.4000000000000057</v>
      </c>
      <c r="E33" s="2">
        <v>210</v>
      </c>
      <c r="F33" s="1">
        <f t="shared" si="1"/>
        <v>201.6</v>
      </c>
      <c r="G33" s="11">
        <v>4.8</v>
      </c>
      <c r="H33" s="11">
        <v>4.3</v>
      </c>
      <c r="I33" s="11">
        <v>4.5</v>
      </c>
      <c r="K33" s="2">
        <v>4.4000000000000004</v>
      </c>
      <c r="L33" s="2">
        <f t="shared" si="3"/>
        <v>5.4816000000000003</v>
      </c>
      <c r="M33" s="11">
        <v>201.6</v>
      </c>
    </row>
    <row r="34" spans="1:16" ht="21" customHeight="1">
      <c r="B34" s="4" t="s">
        <v>156</v>
      </c>
      <c r="C34" s="2" t="s">
        <v>163</v>
      </c>
      <c r="D34" s="2">
        <f t="shared" si="0"/>
        <v>19.399999999999977</v>
      </c>
      <c r="E34" s="2">
        <v>410</v>
      </c>
      <c r="F34" s="1">
        <f t="shared" si="1"/>
        <v>390.6</v>
      </c>
      <c r="G34" s="11">
        <v>9.3000000000000007</v>
      </c>
      <c r="H34" s="11">
        <v>8.6</v>
      </c>
      <c r="I34" s="2">
        <v>9</v>
      </c>
      <c r="K34" s="2">
        <v>8.8000000000000007</v>
      </c>
      <c r="L34" s="2">
        <f t="shared" si="3"/>
        <v>10.620600000000001</v>
      </c>
      <c r="M34" s="11">
        <v>390.6</v>
      </c>
    </row>
    <row r="35" spans="1:16" ht="21" customHeight="1">
      <c r="B35" s="4" t="s">
        <v>158</v>
      </c>
      <c r="C35" s="2" t="s">
        <v>164</v>
      </c>
      <c r="D35" s="2">
        <f t="shared" si="0"/>
        <v>82.399999999999977</v>
      </c>
      <c r="E35" s="2">
        <v>1040</v>
      </c>
      <c r="F35" s="1">
        <f t="shared" si="1"/>
        <v>957.6</v>
      </c>
      <c r="G35" s="11">
        <v>22.8</v>
      </c>
      <c r="H35" s="11">
        <v>21.5</v>
      </c>
      <c r="I35" s="11">
        <v>22.5</v>
      </c>
      <c r="K35" s="2">
        <v>22</v>
      </c>
      <c r="L35" s="2">
        <f t="shared" si="3"/>
        <v>26.037600000000001</v>
      </c>
      <c r="M35" s="11">
        <v>957.6</v>
      </c>
    </row>
    <row r="36" spans="1:16" ht="21" customHeight="1">
      <c r="B36" s="4" t="s">
        <v>160</v>
      </c>
      <c r="C36" s="2" t="s">
        <v>165</v>
      </c>
      <c r="D36" s="2">
        <f t="shared" si="0"/>
        <v>137.40000000000009</v>
      </c>
      <c r="E36" s="2">
        <v>2040</v>
      </c>
      <c r="F36" s="1">
        <f t="shared" si="1"/>
        <v>1902.6</v>
      </c>
      <c r="G36" s="11">
        <v>45.3</v>
      </c>
      <c r="H36" s="2">
        <v>43</v>
      </c>
      <c r="I36" s="2">
        <v>45</v>
      </c>
      <c r="K36" s="2">
        <v>44</v>
      </c>
      <c r="L36" s="2">
        <f t="shared" si="3"/>
        <v>51.732599999999998</v>
      </c>
      <c r="M36" s="11">
        <v>1902.6</v>
      </c>
    </row>
    <row r="37" spans="1:16" ht="21" customHeight="1">
      <c r="B37" s="4" t="s">
        <v>161</v>
      </c>
      <c r="C37" s="2" t="s">
        <v>166</v>
      </c>
      <c r="D37" s="2">
        <f t="shared" si="0"/>
        <v>539.40000000000009</v>
      </c>
      <c r="E37" s="2">
        <v>4290</v>
      </c>
      <c r="F37" s="1">
        <f t="shared" si="1"/>
        <v>3750.6</v>
      </c>
      <c r="G37" s="11">
        <v>89.3</v>
      </c>
      <c r="H37" s="2">
        <v>86</v>
      </c>
      <c r="I37" s="2">
        <v>89</v>
      </c>
      <c r="K37" s="2">
        <v>88</v>
      </c>
      <c r="L37" s="2">
        <f t="shared" si="3"/>
        <v>101.9806</v>
      </c>
      <c r="M37" s="11">
        <v>3750.6</v>
      </c>
    </row>
    <row r="38" spans="1:16" ht="21" customHeight="1">
      <c r="B38" s="4" t="s">
        <v>169</v>
      </c>
      <c r="C38" s="2" t="s">
        <v>170</v>
      </c>
      <c r="D38" s="2">
        <f t="shared" si="0"/>
        <v>1081.3999999999996</v>
      </c>
      <c r="E38" s="2">
        <v>8570</v>
      </c>
      <c r="F38" s="1">
        <f t="shared" si="1"/>
        <v>7488.6</v>
      </c>
      <c r="G38" s="11">
        <v>178.3</v>
      </c>
      <c r="I38" s="2">
        <v>178</v>
      </c>
      <c r="K38" s="2">
        <v>176</v>
      </c>
      <c r="L38" s="2">
        <f t="shared" si="3"/>
        <v>203.61860000000001</v>
      </c>
      <c r="M38" s="11">
        <v>7488.6</v>
      </c>
    </row>
    <row r="39" spans="1:16" ht="21" customHeight="1">
      <c r="B39" s="4" t="s">
        <v>171</v>
      </c>
      <c r="C39" s="2" t="s">
        <v>172</v>
      </c>
      <c r="D39" s="2">
        <f t="shared" si="0"/>
        <v>1617.3999999999996</v>
      </c>
      <c r="E39" s="2">
        <v>12970</v>
      </c>
      <c r="F39" s="1">
        <f t="shared" si="1"/>
        <v>11352.6</v>
      </c>
      <c r="G39" s="11">
        <v>270.3</v>
      </c>
      <c r="I39" s="2">
        <v>270</v>
      </c>
      <c r="K39" s="2">
        <v>264</v>
      </c>
      <c r="L39" s="2">
        <f t="shared" si="3"/>
        <v>308.68259999999998</v>
      </c>
      <c r="M39" s="11">
        <v>11352.6</v>
      </c>
    </row>
    <row r="40" spans="1:16" ht="21" customHeight="1">
      <c r="A40" s="1"/>
      <c r="B40" s="1"/>
      <c r="C40" s="1"/>
      <c r="D40" s="2">
        <f t="shared" si="0"/>
        <v>0</v>
      </c>
      <c r="E40" s="1"/>
      <c r="F40" s="1"/>
      <c r="H40" s="1"/>
      <c r="M40" s="1"/>
    </row>
    <row r="41" spans="1:16" s="19" customFormat="1" ht="18.75">
      <c r="A41" s="19" t="s">
        <v>305</v>
      </c>
      <c r="B41" s="19" t="s">
        <v>343</v>
      </c>
      <c r="D41" s="2" t="s">
        <v>291</v>
      </c>
      <c r="E41" s="19" t="s">
        <v>339</v>
      </c>
      <c r="F41" s="1" t="s">
        <v>349</v>
      </c>
      <c r="G41" s="20" t="s">
        <v>153</v>
      </c>
      <c r="H41" s="19" t="s">
        <v>311</v>
      </c>
      <c r="I41" s="19" t="s">
        <v>329</v>
      </c>
      <c r="J41" s="19" t="s">
        <v>323</v>
      </c>
      <c r="K41" s="19" t="s">
        <v>340</v>
      </c>
      <c r="L41" s="19" t="s">
        <v>292</v>
      </c>
      <c r="M41" s="19" t="s">
        <v>342</v>
      </c>
      <c r="O41" s="20"/>
      <c r="P41" s="20"/>
    </row>
    <row r="42" spans="1:16" s="12" customFormat="1" ht="18.75">
      <c r="B42" s="12" t="s">
        <v>365</v>
      </c>
      <c r="C42" s="12" t="s">
        <v>355</v>
      </c>
      <c r="D42" s="2">
        <f t="shared" si="0"/>
        <v>31.279999999999973</v>
      </c>
      <c r="E42" s="12">
        <v>290</v>
      </c>
      <c r="F42" s="1">
        <f t="shared" si="1"/>
        <v>258.72000000000003</v>
      </c>
      <c r="G42" s="12">
        <v>6.16</v>
      </c>
      <c r="H42" s="12">
        <v>5.76</v>
      </c>
      <c r="J42" s="12">
        <v>4.2699999999999996</v>
      </c>
      <c r="K42" s="12">
        <v>5.26</v>
      </c>
      <c r="L42" s="12">
        <v>6.87</v>
      </c>
      <c r="O42"/>
      <c r="P42"/>
    </row>
    <row r="43" spans="1:16" s="12" customFormat="1" ht="18.75">
      <c r="B43" s="12" t="s">
        <v>365</v>
      </c>
      <c r="C43" s="12" t="s">
        <v>356</v>
      </c>
      <c r="D43" s="2">
        <f t="shared" si="0"/>
        <v>59.360000000000014</v>
      </c>
      <c r="E43" s="12">
        <v>560</v>
      </c>
      <c r="F43" s="1">
        <f t="shared" si="1"/>
        <v>500.64</v>
      </c>
      <c r="G43" s="12">
        <v>11.92</v>
      </c>
      <c r="H43" s="12">
        <v>11.52</v>
      </c>
      <c r="J43" s="12">
        <v>8.5500000000000007</v>
      </c>
      <c r="K43" s="12">
        <v>10.51</v>
      </c>
      <c r="L43" s="12">
        <v>13.34</v>
      </c>
      <c r="O43"/>
      <c r="P43"/>
    </row>
    <row r="44" spans="1:16" s="12" customFormat="1" ht="18.75">
      <c r="B44" s="12" t="s">
        <v>365</v>
      </c>
      <c r="C44" s="12" t="s">
        <v>357</v>
      </c>
      <c r="D44" s="2">
        <f t="shared" si="0"/>
        <v>113</v>
      </c>
      <c r="E44" s="12">
        <v>1100</v>
      </c>
      <c r="F44" s="1">
        <f t="shared" si="1"/>
        <v>987</v>
      </c>
      <c r="G44" s="12">
        <v>23.5</v>
      </c>
      <c r="H44" s="12">
        <v>23.1</v>
      </c>
      <c r="J44" s="12">
        <v>17.149999999999999</v>
      </c>
      <c r="K44" s="12">
        <v>21.07</v>
      </c>
      <c r="L44" s="12">
        <v>26.34</v>
      </c>
      <c r="O44"/>
      <c r="P44"/>
    </row>
    <row r="45" spans="1:16" s="12" customFormat="1" ht="18.75">
      <c r="B45" s="12" t="s">
        <v>365</v>
      </c>
      <c r="C45" s="12" t="s">
        <v>358</v>
      </c>
      <c r="D45" s="2">
        <f t="shared" si="0"/>
        <v>324.76000000000022</v>
      </c>
      <c r="E45" s="12">
        <v>2770</v>
      </c>
      <c r="F45" s="1">
        <f t="shared" si="1"/>
        <v>2445.2399999999998</v>
      </c>
      <c r="G45" s="12">
        <v>58.22</v>
      </c>
      <c r="H45" s="12">
        <v>57.82</v>
      </c>
      <c r="J45" s="12">
        <v>42.92</v>
      </c>
      <c r="K45" s="12">
        <v>52.74</v>
      </c>
      <c r="L45" s="12">
        <v>66.03</v>
      </c>
      <c r="O45"/>
      <c r="P45"/>
    </row>
    <row r="46" spans="1:16" s="12" customFormat="1" ht="18.75">
      <c r="B46" s="12" t="s">
        <v>365</v>
      </c>
      <c r="C46" s="12" t="s">
        <v>359</v>
      </c>
      <c r="D46" s="2">
        <f t="shared" si="0"/>
        <v>690.52000000000044</v>
      </c>
      <c r="E46" s="12">
        <v>5560</v>
      </c>
      <c r="F46" s="1">
        <f t="shared" si="1"/>
        <v>4869.4799999999996</v>
      </c>
      <c r="G46" s="12">
        <v>115.94</v>
      </c>
      <c r="H46" s="12">
        <v>115.54</v>
      </c>
      <c r="J46" s="12">
        <v>85.75</v>
      </c>
      <c r="K46" s="12">
        <v>105.35</v>
      </c>
      <c r="L46" s="12">
        <v>132.27000000000001</v>
      </c>
      <c r="O46"/>
      <c r="P46"/>
    </row>
    <row r="47" spans="1:16" s="12" customFormat="1" ht="18.75">
      <c r="D47" s="2">
        <f t="shared" si="0"/>
        <v>0</v>
      </c>
      <c r="F47" s="1">
        <f t="shared" si="1"/>
        <v>0</v>
      </c>
      <c r="O47"/>
      <c r="P47"/>
    </row>
    <row r="48" spans="1:16" s="12" customFormat="1" ht="18.75">
      <c r="B48" s="12" t="s">
        <v>365</v>
      </c>
      <c r="C48" s="12" t="s">
        <v>360</v>
      </c>
      <c r="D48" s="2">
        <f t="shared" si="0"/>
        <v>31.279999999999973</v>
      </c>
      <c r="E48" s="12">
        <v>290</v>
      </c>
      <c r="F48" s="1">
        <f t="shared" si="1"/>
        <v>258.72000000000003</v>
      </c>
      <c r="G48" s="12">
        <v>6.16</v>
      </c>
      <c r="H48" s="12">
        <v>5.76</v>
      </c>
      <c r="J48" s="12">
        <v>4.2699999999999996</v>
      </c>
      <c r="K48" s="12">
        <v>5.26</v>
      </c>
      <c r="L48" s="12">
        <v>6.87</v>
      </c>
      <c r="O48"/>
      <c r="P48"/>
    </row>
    <row r="49" spans="1:16" s="12" customFormat="1" ht="18.75">
      <c r="B49" s="12" t="s">
        <v>365</v>
      </c>
      <c r="C49" s="12" t="s">
        <v>361</v>
      </c>
      <c r="D49" s="2">
        <f t="shared" si="0"/>
        <v>59.360000000000014</v>
      </c>
      <c r="E49" s="12">
        <v>560</v>
      </c>
      <c r="F49" s="1">
        <f t="shared" si="1"/>
        <v>500.64</v>
      </c>
      <c r="G49" s="12">
        <v>11.92</v>
      </c>
      <c r="H49" s="12">
        <v>11.52</v>
      </c>
      <c r="J49" s="12">
        <v>8.5500000000000007</v>
      </c>
      <c r="K49" s="12">
        <v>10.51</v>
      </c>
      <c r="L49" s="12">
        <v>13.34</v>
      </c>
      <c r="O49"/>
      <c r="P49"/>
    </row>
    <row r="50" spans="1:16" s="12" customFormat="1" ht="18.75">
      <c r="B50" s="12" t="s">
        <v>365</v>
      </c>
      <c r="C50" s="12" t="s">
        <v>362</v>
      </c>
      <c r="D50" s="2">
        <f t="shared" si="0"/>
        <v>113</v>
      </c>
      <c r="E50" s="12">
        <v>1100</v>
      </c>
      <c r="F50" s="1">
        <f t="shared" si="1"/>
        <v>987</v>
      </c>
      <c r="G50" s="12">
        <v>23.5</v>
      </c>
      <c r="H50" s="12">
        <v>23.1</v>
      </c>
      <c r="J50" s="12">
        <v>17.149999999999999</v>
      </c>
      <c r="K50" s="12">
        <v>21.07</v>
      </c>
      <c r="L50" s="12">
        <v>26.34</v>
      </c>
      <c r="O50"/>
      <c r="P50"/>
    </row>
    <row r="51" spans="1:16" s="12" customFormat="1" ht="18.75">
      <c r="B51" s="12" t="s">
        <v>365</v>
      </c>
      <c r="C51" s="12" t="s">
        <v>363</v>
      </c>
      <c r="D51" s="2">
        <f t="shared" si="0"/>
        <v>324.76000000000022</v>
      </c>
      <c r="E51" s="12">
        <v>2770</v>
      </c>
      <c r="F51" s="1">
        <f t="shared" si="1"/>
        <v>2445.2399999999998</v>
      </c>
      <c r="G51" s="12">
        <v>58.22</v>
      </c>
      <c r="H51" s="12">
        <v>57.82</v>
      </c>
      <c r="J51" s="12">
        <v>42.92</v>
      </c>
      <c r="K51" s="12">
        <v>52.74</v>
      </c>
      <c r="L51" s="12">
        <v>66.03</v>
      </c>
      <c r="O51"/>
      <c r="P51"/>
    </row>
    <row r="52" spans="1:16" s="12" customFormat="1" ht="18.75">
      <c r="B52" s="12" t="s">
        <v>365</v>
      </c>
      <c r="C52" s="12" t="s">
        <v>364</v>
      </c>
      <c r="D52" s="2">
        <f t="shared" si="0"/>
        <v>690.52000000000044</v>
      </c>
      <c r="E52" s="12">
        <v>5560</v>
      </c>
      <c r="F52" s="1">
        <f t="shared" si="1"/>
        <v>4869.4799999999996</v>
      </c>
      <c r="G52" s="12">
        <v>115.94</v>
      </c>
      <c r="H52" s="12">
        <v>115.54</v>
      </c>
      <c r="J52" s="12">
        <v>85.75</v>
      </c>
      <c r="K52" s="12">
        <v>105.35</v>
      </c>
      <c r="L52" s="12">
        <v>132.27000000000001</v>
      </c>
      <c r="O52"/>
      <c r="P52"/>
    </row>
    <row r="53" spans="1:16" ht="21" customHeight="1">
      <c r="C53" s="3"/>
      <c r="D53" s="2">
        <f t="shared" si="0"/>
        <v>0</v>
      </c>
      <c r="F53" s="1">
        <f t="shared" si="1"/>
        <v>0</v>
      </c>
    </row>
    <row r="54" spans="1:16" ht="21" customHeight="1">
      <c r="C54" s="3"/>
      <c r="D54" s="2">
        <f t="shared" si="0"/>
        <v>0</v>
      </c>
      <c r="F54" s="1">
        <f t="shared" si="1"/>
        <v>0</v>
      </c>
    </row>
    <row r="55" spans="1:16" ht="21" customHeight="1">
      <c r="B55" s="4" t="s">
        <v>419</v>
      </c>
      <c r="C55" s="10" t="s">
        <v>6</v>
      </c>
      <c r="D55" s="2">
        <f t="shared" si="0"/>
        <v>35.639999999999986</v>
      </c>
      <c r="E55" s="2">
        <v>270</v>
      </c>
      <c r="F55" s="1">
        <f t="shared" si="1"/>
        <v>234.36</v>
      </c>
      <c r="G55" s="2">
        <f>K55+0.4</f>
        <v>5.58</v>
      </c>
      <c r="K55" s="2">
        <v>5.18</v>
      </c>
      <c r="L55" s="2">
        <f>((G55/5)*0.71)+G55</f>
        <v>6.3723600000000005</v>
      </c>
    </row>
    <row r="56" spans="1:16" ht="21" customHeight="1">
      <c r="B56" s="4" t="s">
        <v>419</v>
      </c>
      <c r="C56" s="11" t="s">
        <v>10</v>
      </c>
      <c r="D56" s="2">
        <f t="shared" si="0"/>
        <v>68.079999999999984</v>
      </c>
      <c r="E56" s="2">
        <v>520</v>
      </c>
      <c r="F56" s="1">
        <f t="shared" si="1"/>
        <v>451.92</v>
      </c>
      <c r="G56" s="2">
        <f t="shared" ref="G56:G59" si="4">K56+0.4</f>
        <v>10.76</v>
      </c>
      <c r="K56" s="2">
        <v>10.36</v>
      </c>
      <c r="L56" s="2">
        <f t="shared" ref="L56:L59" si="5">((G56/5)*0.71)+G56</f>
        <v>12.28792</v>
      </c>
    </row>
    <row r="57" spans="1:16" ht="21" customHeight="1">
      <c r="B57" s="4" t="s">
        <v>419</v>
      </c>
      <c r="C57" s="11" t="s">
        <v>14</v>
      </c>
      <c r="D57" s="2">
        <f t="shared" si="0"/>
        <v>133.38</v>
      </c>
      <c r="E57" s="2">
        <v>1020</v>
      </c>
      <c r="F57" s="1">
        <f t="shared" si="1"/>
        <v>886.62</v>
      </c>
      <c r="G57" s="2">
        <f t="shared" si="4"/>
        <v>21.11</v>
      </c>
      <c r="K57" s="2">
        <v>20.71</v>
      </c>
      <c r="L57" s="2">
        <f t="shared" si="5"/>
        <v>24.107619999999997</v>
      </c>
    </row>
    <row r="58" spans="1:16" ht="21" customHeight="1">
      <c r="B58" s="4" t="s">
        <v>419</v>
      </c>
      <c r="C58" s="11" t="s">
        <v>128</v>
      </c>
      <c r="D58" s="2">
        <f t="shared" si="0"/>
        <v>370.38000000000011</v>
      </c>
      <c r="E58" s="2">
        <v>3000</v>
      </c>
      <c r="F58" s="1">
        <f t="shared" si="1"/>
        <v>2629.62</v>
      </c>
      <c r="G58" s="2">
        <f t="shared" si="4"/>
        <v>62.61</v>
      </c>
      <c r="K58" s="2">
        <v>62.21</v>
      </c>
      <c r="L58" s="2">
        <f t="shared" si="5"/>
        <v>71.500619999999998</v>
      </c>
    </row>
    <row r="59" spans="1:16" ht="21" customHeight="1">
      <c r="B59" s="4" t="s">
        <v>419</v>
      </c>
      <c r="C59" s="11" t="s">
        <v>20</v>
      </c>
      <c r="D59" s="2">
        <f t="shared" si="0"/>
        <v>618.63999999999942</v>
      </c>
      <c r="E59" s="2">
        <v>4990</v>
      </c>
      <c r="F59" s="1">
        <f t="shared" si="1"/>
        <v>4371.3600000000006</v>
      </c>
      <c r="G59" s="2">
        <f t="shared" si="4"/>
        <v>104.08000000000001</v>
      </c>
      <c r="K59" s="2">
        <v>103.68</v>
      </c>
      <c r="L59" s="2">
        <f t="shared" si="5"/>
        <v>118.85936000000001</v>
      </c>
    </row>
    <row r="60" spans="1:16" ht="21" customHeight="1">
      <c r="A60" s="1"/>
      <c r="C60" s="11"/>
      <c r="D60" s="1"/>
      <c r="E60" s="1"/>
      <c r="F60" s="1"/>
      <c r="H60" s="1"/>
      <c r="M60" s="1"/>
    </row>
    <row r="61" spans="1:16" ht="21" customHeight="1">
      <c r="C61" s="11"/>
    </row>
    <row r="62" spans="1:16" ht="21" customHeight="1">
      <c r="C62" s="11"/>
    </row>
    <row r="63" spans="1:16" ht="21" customHeight="1">
      <c r="C63" s="10"/>
    </row>
    <row r="64" spans="1:16" ht="21" customHeight="1">
      <c r="C64" s="10"/>
    </row>
    <row r="65" spans="1:13" ht="21" customHeight="1">
      <c r="C65" s="10"/>
    </row>
    <row r="66" spans="1:13" ht="21" customHeight="1">
      <c r="C66" s="10"/>
    </row>
    <row r="67" spans="1:13" ht="21" customHeight="1">
      <c r="A67" s="1"/>
      <c r="B67" s="1"/>
      <c r="C67" s="10"/>
      <c r="D67" s="1"/>
      <c r="E67" s="1"/>
      <c r="F67" s="1"/>
      <c r="H67" s="1"/>
      <c r="M67" s="1"/>
    </row>
    <row r="68" spans="1:13" ht="21" customHeight="1">
      <c r="C68" s="10"/>
    </row>
  </sheetData>
  <phoneticPr fontId="5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>
  <dimension ref="A1:O102"/>
  <sheetViews>
    <sheetView workbookViewId="0">
      <pane ySplit="1" topLeftCell="A2" activePane="bottomLeft" state="frozen"/>
      <selection pane="bottomLeft" sqref="A1:XFD1"/>
    </sheetView>
  </sheetViews>
  <sheetFormatPr baseColWidth="10" defaultColWidth="21.7109375" defaultRowHeight="18.75"/>
  <cols>
    <col min="1" max="1" width="21.7109375" style="12"/>
    <col min="2" max="2" width="46.85546875" style="12" customWidth="1"/>
    <col min="3" max="3" width="10.42578125" bestFit="1" customWidth="1"/>
    <col min="4" max="4" width="21.7109375" style="12"/>
    <col min="7" max="7" width="12" style="12" bestFit="1" customWidth="1"/>
    <col min="8" max="8" width="12.85546875" style="12" bestFit="1" customWidth="1"/>
    <col min="9" max="9" width="11.140625" style="12" bestFit="1" customWidth="1"/>
    <col min="10" max="10" width="8.140625" style="12" bestFit="1" customWidth="1"/>
    <col min="11" max="11" width="15.7109375" style="12" bestFit="1" customWidth="1"/>
    <col min="12" max="12" width="11.7109375" style="12" bestFit="1" customWidth="1"/>
    <col min="13" max="13" width="21.7109375" style="12"/>
    <col min="16" max="16384" width="21.7109375" style="12"/>
  </cols>
  <sheetData>
    <row r="1" spans="1:15">
      <c r="A1" s="14" t="s">
        <v>305</v>
      </c>
      <c r="B1" s="15" t="s">
        <v>343</v>
      </c>
      <c r="C1" s="2" t="s">
        <v>291</v>
      </c>
      <c r="D1" s="16" t="s">
        <v>339</v>
      </c>
      <c r="E1" s="2" t="s">
        <v>352</v>
      </c>
      <c r="F1" s="2" t="s">
        <v>153</v>
      </c>
      <c r="G1" s="15" t="s">
        <v>311</v>
      </c>
      <c r="H1" s="15" t="s">
        <v>329</v>
      </c>
      <c r="I1" s="15" t="s">
        <v>323</v>
      </c>
      <c r="J1" s="15" t="s">
        <v>340</v>
      </c>
      <c r="K1" s="15" t="s">
        <v>341</v>
      </c>
      <c r="L1" s="15" t="s">
        <v>292</v>
      </c>
      <c r="M1" s="16"/>
      <c r="N1" s="2"/>
      <c r="O1" s="2"/>
    </row>
    <row r="2" spans="1:15">
      <c r="A2" s="12" t="s">
        <v>307</v>
      </c>
      <c r="B2" s="12" t="s">
        <v>324</v>
      </c>
      <c r="C2">
        <f>D2-E2</f>
        <v>119.20000000000005</v>
      </c>
      <c r="D2" s="12">
        <v>1060</v>
      </c>
      <c r="E2">
        <f>F2*42</f>
        <v>940.8</v>
      </c>
      <c r="F2" s="12">
        <v>22.4</v>
      </c>
      <c r="H2" s="12">
        <v>21</v>
      </c>
      <c r="I2" s="12">
        <v>21.8</v>
      </c>
      <c r="J2" s="12">
        <v>22</v>
      </c>
      <c r="K2" s="12">
        <v>19.91</v>
      </c>
      <c r="L2" s="12">
        <v>25.24</v>
      </c>
    </row>
    <row r="3" spans="1:15">
      <c r="B3" s="12" t="s">
        <v>325</v>
      </c>
      <c r="C3">
        <f t="shared" ref="C3:C35" si="0">D3-E3</f>
        <v>393.19999999999982</v>
      </c>
      <c r="D3" s="12">
        <v>3140</v>
      </c>
      <c r="E3">
        <f t="shared" ref="E3:E35" si="1">F3*42</f>
        <v>2746.8</v>
      </c>
      <c r="F3" s="12">
        <v>65.400000000000006</v>
      </c>
      <c r="H3" s="12">
        <v>65</v>
      </c>
      <c r="I3" s="12">
        <v>62.85</v>
      </c>
      <c r="K3" s="12">
        <v>60.72</v>
      </c>
      <c r="L3" s="12">
        <v>74.63</v>
      </c>
    </row>
    <row r="4" spans="1:15">
      <c r="C4">
        <f t="shared" si="0"/>
        <v>0</v>
      </c>
      <c r="E4">
        <f t="shared" si="1"/>
        <v>0</v>
      </c>
      <c r="F4" s="12"/>
    </row>
    <row r="5" spans="1:15">
      <c r="A5" s="12" t="s">
        <v>306</v>
      </c>
      <c r="B5" s="12" t="s">
        <v>312</v>
      </c>
      <c r="C5">
        <f t="shared" si="0"/>
        <v>177.20000000000005</v>
      </c>
      <c r="D5" s="12">
        <v>1580</v>
      </c>
      <c r="E5">
        <f t="shared" si="1"/>
        <v>1402.8</v>
      </c>
      <c r="F5" s="12">
        <v>33.4</v>
      </c>
      <c r="G5" s="12">
        <v>30.6</v>
      </c>
      <c r="H5" s="12">
        <v>33</v>
      </c>
      <c r="I5" s="12">
        <v>29.25</v>
      </c>
      <c r="J5" s="12">
        <v>30.6</v>
      </c>
      <c r="L5" s="12">
        <v>37.659999999999997</v>
      </c>
    </row>
    <row r="6" spans="1:15">
      <c r="B6" s="12" t="s">
        <v>313</v>
      </c>
      <c r="C6">
        <f t="shared" si="0"/>
        <v>407.26000000000022</v>
      </c>
      <c r="D6" s="12">
        <v>4900</v>
      </c>
      <c r="E6">
        <f t="shared" si="1"/>
        <v>4492.74</v>
      </c>
      <c r="F6" s="12">
        <v>106.97</v>
      </c>
      <c r="G6" s="12">
        <v>97.6</v>
      </c>
      <c r="H6" s="12">
        <v>106.57</v>
      </c>
      <c r="I6" s="12">
        <v>92.85</v>
      </c>
      <c r="J6" s="12">
        <v>97.6</v>
      </c>
      <c r="L6" s="12">
        <v>121.17</v>
      </c>
    </row>
    <row r="7" spans="1:15">
      <c r="C7">
        <f t="shared" si="0"/>
        <v>0</v>
      </c>
      <c r="E7">
        <f t="shared" si="1"/>
        <v>0</v>
      </c>
      <c r="F7" s="12"/>
    </row>
    <row r="8" spans="1:15">
      <c r="A8" s="12" t="s">
        <v>308</v>
      </c>
      <c r="B8" s="12" t="s">
        <v>314</v>
      </c>
      <c r="C8">
        <f t="shared" si="0"/>
        <v>77.94</v>
      </c>
      <c r="D8" s="12">
        <v>390</v>
      </c>
      <c r="E8">
        <f>F8*42</f>
        <v>312.06</v>
      </c>
      <c r="F8" s="12">
        <v>7.43</v>
      </c>
      <c r="G8" s="12">
        <v>7.03</v>
      </c>
      <c r="L8" s="12">
        <f>((F8/5)*0.71)+F8</f>
        <v>8.4850599999999989</v>
      </c>
    </row>
    <row r="9" spans="1:15">
      <c r="B9" s="12" t="s">
        <v>315</v>
      </c>
      <c r="C9">
        <f t="shared" si="0"/>
        <v>123.29999999999995</v>
      </c>
      <c r="D9" s="12">
        <v>1020</v>
      </c>
      <c r="E9">
        <f t="shared" si="1"/>
        <v>896.7</v>
      </c>
      <c r="F9" s="12">
        <v>21.35</v>
      </c>
      <c r="G9" s="12">
        <v>20.95</v>
      </c>
      <c r="I9" s="12">
        <v>17.2</v>
      </c>
      <c r="J9" s="12">
        <v>18</v>
      </c>
      <c r="L9" s="12">
        <f>((F9/5)*0.71)+F9</f>
        <v>24.381700000000002</v>
      </c>
    </row>
    <row r="10" spans="1:15">
      <c r="A10" s="12" t="s">
        <v>310</v>
      </c>
      <c r="B10" s="12" t="s">
        <v>316</v>
      </c>
      <c r="C10">
        <f t="shared" si="0"/>
        <v>254.24</v>
      </c>
      <c r="D10" s="12">
        <v>2030</v>
      </c>
      <c r="E10">
        <f t="shared" si="1"/>
        <v>1775.76</v>
      </c>
      <c r="F10" s="12">
        <v>42.28</v>
      </c>
      <c r="G10" s="12">
        <v>41.88</v>
      </c>
      <c r="I10" s="12">
        <v>34.4</v>
      </c>
      <c r="J10" s="12">
        <v>36</v>
      </c>
      <c r="L10" s="12">
        <f t="shared" ref="L10:L35" si="2">((F10/5)*0.71)+F10</f>
        <v>48.283760000000001</v>
      </c>
    </row>
    <row r="11" spans="1:15">
      <c r="B11" s="12" t="s">
        <v>317</v>
      </c>
      <c r="C11">
        <f t="shared" si="0"/>
        <v>422.02</v>
      </c>
      <c r="D11" s="12">
        <v>3370</v>
      </c>
      <c r="E11">
        <f t="shared" si="1"/>
        <v>2947.98</v>
      </c>
      <c r="F11" s="12">
        <v>70.19</v>
      </c>
      <c r="G11" s="12">
        <v>69.790000000000006</v>
      </c>
      <c r="I11" s="12">
        <v>57.33</v>
      </c>
      <c r="J11" s="12">
        <v>60</v>
      </c>
      <c r="L11" s="12">
        <f t="shared" si="2"/>
        <v>80.156980000000004</v>
      </c>
    </row>
    <row r="12" spans="1:15">
      <c r="C12">
        <f t="shared" si="0"/>
        <v>0</v>
      </c>
      <c r="E12">
        <f t="shared" si="1"/>
        <v>0</v>
      </c>
      <c r="F12" s="12"/>
      <c r="L12" s="12">
        <f t="shared" si="2"/>
        <v>0</v>
      </c>
    </row>
    <row r="13" spans="1:15">
      <c r="B13" s="12" t="s">
        <v>318</v>
      </c>
      <c r="C13">
        <f t="shared" si="0"/>
        <v>111.1400000000001</v>
      </c>
      <c r="D13" s="12">
        <v>860</v>
      </c>
      <c r="E13">
        <f t="shared" si="1"/>
        <v>748.8599999999999</v>
      </c>
      <c r="F13" s="12">
        <v>17.829999999999998</v>
      </c>
      <c r="G13" s="12">
        <v>17.43</v>
      </c>
      <c r="I13" s="12">
        <v>17.2</v>
      </c>
      <c r="J13" s="12">
        <v>18</v>
      </c>
      <c r="L13" s="12">
        <f t="shared" si="2"/>
        <v>20.361859999999997</v>
      </c>
    </row>
    <row r="14" spans="1:15">
      <c r="B14" s="12" t="s">
        <v>319</v>
      </c>
      <c r="C14">
        <f t="shared" si="0"/>
        <v>221.20000000000005</v>
      </c>
      <c r="D14" s="12">
        <v>1750</v>
      </c>
      <c r="E14">
        <f t="shared" si="1"/>
        <v>1528.8</v>
      </c>
      <c r="F14" s="12">
        <v>36.4</v>
      </c>
      <c r="G14" s="12">
        <v>34.85</v>
      </c>
      <c r="I14" s="12">
        <v>34.4</v>
      </c>
      <c r="J14" s="12">
        <v>36</v>
      </c>
      <c r="L14" s="12">
        <f t="shared" si="2"/>
        <v>41.568799999999996</v>
      </c>
    </row>
    <row r="15" spans="1:15">
      <c r="B15" s="12" t="s">
        <v>320</v>
      </c>
      <c r="C15">
        <f t="shared" si="0"/>
        <v>363.20000000000027</v>
      </c>
      <c r="D15" s="12">
        <v>2900</v>
      </c>
      <c r="E15">
        <f t="shared" si="1"/>
        <v>2536.7999999999997</v>
      </c>
      <c r="F15" s="12">
        <v>60.4</v>
      </c>
      <c r="G15" s="12">
        <v>58.09</v>
      </c>
      <c r="I15" s="12">
        <v>57.33</v>
      </c>
      <c r="J15" s="12">
        <v>60</v>
      </c>
      <c r="L15" s="12">
        <f t="shared" si="2"/>
        <v>68.976799999999997</v>
      </c>
    </row>
    <row r="16" spans="1:15">
      <c r="C16">
        <f t="shared" si="0"/>
        <v>0</v>
      </c>
      <c r="E16">
        <f t="shared" si="1"/>
        <v>0</v>
      </c>
      <c r="F16" s="12"/>
      <c r="L16" s="12">
        <f t="shared" si="2"/>
        <v>0</v>
      </c>
    </row>
    <row r="17" spans="1:12">
      <c r="A17" s="12" t="s">
        <v>309</v>
      </c>
      <c r="B17" s="12" t="s">
        <v>321</v>
      </c>
      <c r="C17" s="25">
        <f t="shared" si="0"/>
        <v>19.560000000000002</v>
      </c>
      <c r="D17" s="26">
        <v>180</v>
      </c>
      <c r="E17" s="25">
        <f t="shared" si="1"/>
        <v>160.44</v>
      </c>
      <c r="F17" s="26">
        <v>3.82</v>
      </c>
      <c r="G17" s="26">
        <v>3.52</v>
      </c>
      <c r="H17" s="26"/>
      <c r="I17" s="26"/>
      <c r="J17" s="26">
        <v>3.38</v>
      </c>
      <c r="K17" s="26"/>
      <c r="L17" s="26">
        <f t="shared" si="2"/>
        <v>4.3624399999999994</v>
      </c>
    </row>
    <row r="18" spans="1:12">
      <c r="B18" s="12" t="s">
        <v>322</v>
      </c>
      <c r="C18" s="25">
        <f t="shared" si="0"/>
        <v>25.739999999999981</v>
      </c>
      <c r="D18" s="26">
        <v>195</v>
      </c>
      <c r="E18" s="25">
        <f t="shared" si="1"/>
        <v>169.26000000000002</v>
      </c>
      <c r="F18" s="26">
        <v>4.03</v>
      </c>
      <c r="G18" s="26">
        <v>3.52</v>
      </c>
      <c r="H18" s="26"/>
      <c r="I18" s="26"/>
      <c r="J18" s="26">
        <v>3.73</v>
      </c>
      <c r="K18" s="26"/>
      <c r="L18" s="26">
        <f t="shared" si="2"/>
        <v>4.6022600000000002</v>
      </c>
    </row>
    <row r="19" spans="1:12">
      <c r="B19" s="12" t="s">
        <v>384</v>
      </c>
      <c r="C19" s="25">
        <f t="shared" si="0"/>
        <v>48.099999999999966</v>
      </c>
      <c r="D19" s="26">
        <v>340</v>
      </c>
      <c r="E19" s="25">
        <f t="shared" si="1"/>
        <v>291.90000000000003</v>
      </c>
      <c r="F19" s="26">
        <v>6.95</v>
      </c>
      <c r="G19" s="26"/>
      <c r="H19" s="26"/>
      <c r="I19" s="26"/>
      <c r="J19" s="26">
        <v>6.65</v>
      </c>
      <c r="K19" s="26"/>
      <c r="L19" s="26">
        <f t="shared" si="2"/>
        <v>7.9369000000000005</v>
      </c>
    </row>
    <row r="20" spans="1:12">
      <c r="B20" s="12" t="s">
        <v>383</v>
      </c>
      <c r="C20" s="25">
        <f t="shared" si="0"/>
        <v>47.099999999999966</v>
      </c>
      <c r="D20" s="26">
        <v>360</v>
      </c>
      <c r="E20" s="25">
        <f t="shared" si="1"/>
        <v>312.90000000000003</v>
      </c>
      <c r="F20" s="26">
        <v>7.45</v>
      </c>
      <c r="G20" s="26"/>
      <c r="H20" s="26"/>
      <c r="I20" s="26"/>
      <c r="J20" s="26">
        <v>7.15</v>
      </c>
      <c r="K20" s="26"/>
      <c r="L20" s="26">
        <f t="shared" si="2"/>
        <v>8.5078999999999994</v>
      </c>
    </row>
    <row r="21" spans="1:12">
      <c r="B21" s="12" t="s">
        <v>385</v>
      </c>
      <c r="C21" s="25">
        <f t="shared" si="0"/>
        <v>79.639999999999986</v>
      </c>
      <c r="D21" s="26">
        <v>650</v>
      </c>
      <c r="E21" s="25">
        <f t="shared" si="1"/>
        <v>570.36</v>
      </c>
      <c r="F21" s="26">
        <v>13.58</v>
      </c>
      <c r="G21" s="26"/>
      <c r="H21" s="26"/>
      <c r="I21" s="26"/>
      <c r="J21" s="26">
        <v>13.28</v>
      </c>
      <c r="K21" s="26"/>
      <c r="L21" s="26">
        <f t="shared" si="2"/>
        <v>15.50836</v>
      </c>
    </row>
    <row r="22" spans="1:12">
      <c r="B22" s="12" t="s">
        <v>386</v>
      </c>
      <c r="C22" s="25">
        <f t="shared" si="0"/>
        <v>86.800000000000068</v>
      </c>
      <c r="D22" s="26">
        <v>700</v>
      </c>
      <c r="E22" s="25">
        <f t="shared" si="1"/>
        <v>613.19999999999993</v>
      </c>
      <c r="F22" s="26">
        <v>14.6</v>
      </c>
      <c r="G22" s="26"/>
      <c r="H22" s="26"/>
      <c r="I22" s="26"/>
      <c r="J22" s="26">
        <v>14.3</v>
      </c>
      <c r="K22" s="26"/>
      <c r="L22" s="26">
        <f t="shared" si="2"/>
        <v>16.673200000000001</v>
      </c>
    </row>
    <row r="23" spans="1:12">
      <c r="B23" s="12" t="s">
        <v>387</v>
      </c>
      <c r="C23" s="25">
        <f t="shared" si="0"/>
        <v>161.88000000000011</v>
      </c>
      <c r="D23" s="26">
        <v>1290</v>
      </c>
      <c r="E23" s="25">
        <f t="shared" si="1"/>
        <v>1128.1199999999999</v>
      </c>
      <c r="F23" s="26">
        <v>26.86</v>
      </c>
      <c r="G23" s="26"/>
      <c r="H23" s="26"/>
      <c r="I23" s="26"/>
      <c r="J23" s="26">
        <v>26.56</v>
      </c>
      <c r="K23" s="26"/>
      <c r="L23" s="26">
        <f t="shared" si="2"/>
        <v>30.674119999999998</v>
      </c>
    </row>
    <row r="24" spans="1:12">
      <c r="B24" s="12" t="s">
        <v>388</v>
      </c>
      <c r="C24" s="25">
        <f t="shared" si="0"/>
        <v>176.20000000000005</v>
      </c>
      <c r="D24" s="26">
        <v>1390</v>
      </c>
      <c r="E24" s="25">
        <f t="shared" si="1"/>
        <v>1213.8</v>
      </c>
      <c r="F24" s="26">
        <v>28.9</v>
      </c>
      <c r="G24" s="26"/>
      <c r="H24" s="26"/>
      <c r="I24" s="26"/>
      <c r="J24" s="26">
        <v>28.6</v>
      </c>
      <c r="K24" s="26"/>
      <c r="L24" s="26">
        <f t="shared" si="2"/>
        <v>33.003799999999998</v>
      </c>
    </row>
    <row r="25" spans="1:12">
      <c r="C25" s="25"/>
      <c r="D25" s="26"/>
      <c r="E25" s="25"/>
      <c r="F25" s="26"/>
      <c r="G25" s="26"/>
      <c r="H25" s="26"/>
      <c r="I25" s="26"/>
      <c r="J25" s="26"/>
      <c r="K25" s="26"/>
      <c r="L25" s="26"/>
    </row>
    <row r="26" spans="1:12">
      <c r="C26" s="25"/>
      <c r="D26" s="26"/>
      <c r="E26" s="25"/>
      <c r="F26" s="26"/>
      <c r="G26" s="26"/>
      <c r="H26" s="26"/>
      <c r="I26" s="26"/>
      <c r="J26" s="26"/>
      <c r="K26" s="26"/>
      <c r="L26" s="26"/>
    </row>
    <row r="27" spans="1:12">
      <c r="C27" s="25"/>
      <c r="D27" s="26"/>
      <c r="E27" s="25"/>
      <c r="F27" s="26"/>
      <c r="G27" s="26"/>
      <c r="H27" s="26"/>
      <c r="I27" s="26"/>
      <c r="J27" s="26"/>
      <c r="K27" s="26"/>
      <c r="L27" s="26"/>
    </row>
    <row r="28" spans="1:12">
      <c r="C28" s="25">
        <f t="shared" si="0"/>
        <v>0</v>
      </c>
      <c r="D28" s="26"/>
      <c r="E28" s="25">
        <f t="shared" si="1"/>
        <v>0</v>
      </c>
      <c r="F28" s="26"/>
      <c r="G28" s="26"/>
      <c r="H28" s="26"/>
      <c r="I28" s="26"/>
      <c r="J28" s="26"/>
      <c r="K28" s="26"/>
      <c r="L28" s="26">
        <f t="shared" si="2"/>
        <v>0</v>
      </c>
    </row>
    <row r="29" spans="1:12">
      <c r="A29" s="12" t="s">
        <v>354</v>
      </c>
      <c r="B29" s="12" t="s">
        <v>326</v>
      </c>
      <c r="C29" s="25">
        <f t="shared" si="0"/>
        <v>60</v>
      </c>
      <c r="D29" s="26">
        <v>480</v>
      </c>
      <c r="E29" s="25">
        <f t="shared" si="1"/>
        <v>420</v>
      </c>
      <c r="F29" s="26">
        <v>10</v>
      </c>
      <c r="G29" s="26"/>
      <c r="H29" s="26"/>
      <c r="I29" s="26">
        <v>9.49</v>
      </c>
      <c r="J29" s="26"/>
      <c r="K29" s="26">
        <v>6.89</v>
      </c>
      <c r="L29" s="26">
        <f t="shared" si="2"/>
        <v>11.42</v>
      </c>
    </row>
    <row r="30" spans="1:12">
      <c r="B30" s="12" t="s">
        <v>327</v>
      </c>
      <c r="C30" s="25">
        <f t="shared" si="0"/>
        <v>180</v>
      </c>
      <c r="D30" s="26">
        <v>1440</v>
      </c>
      <c r="E30" s="25">
        <f t="shared" si="1"/>
        <v>1260</v>
      </c>
      <c r="F30" s="26">
        <v>30</v>
      </c>
      <c r="G30" s="26"/>
      <c r="H30" s="26"/>
      <c r="I30" s="26">
        <v>27.54</v>
      </c>
      <c r="J30" s="26"/>
      <c r="K30" s="26">
        <v>22.43</v>
      </c>
      <c r="L30" s="26">
        <f t="shared" si="2"/>
        <v>34.26</v>
      </c>
    </row>
    <row r="31" spans="1:12">
      <c r="B31" s="12" t="s">
        <v>328</v>
      </c>
      <c r="C31" s="25">
        <f t="shared" si="0"/>
        <v>600</v>
      </c>
      <c r="D31" s="26">
        <v>4800</v>
      </c>
      <c r="E31" s="25">
        <f t="shared" si="1"/>
        <v>4200</v>
      </c>
      <c r="F31" s="26">
        <v>100</v>
      </c>
      <c r="G31" s="26"/>
      <c r="H31" s="26"/>
      <c r="I31" s="26">
        <v>94.99</v>
      </c>
      <c r="J31" s="26"/>
      <c r="K31" s="26">
        <v>79.19</v>
      </c>
      <c r="L31" s="26">
        <f t="shared" si="2"/>
        <v>114.2</v>
      </c>
    </row>
    <row r="32" spans="1:12">
      <c r="C32" s="25">
        <f t="shared" si="0"/>
        <v>0</v>
      </c>
      <c r="D32" s="26"/>
      <c r="E32" s="25">
        <f t="shared" si="1"/>
        <v>0</v>
      </c>
      <c r="F32" s="26"/>
      <c r="G32" s="26"/>
      <c r="H32" s="26"/>
      <c r="I32" s="26"/>
      <c r="J32" s="26"/>
      <c r="K32" s="26"/>
      <c r="L32" s="26">
        <f t="shared" si="2"/>
        <v>0</v>
      </c>
    </row>
    <row r="33" spans="1:12">
      <c r="B33" s="13" t="s">
        <v>353</v>
      </c>
      <c r="C33" s="25">
        <f t="shared" si="0"/>
        <v>151.27999999999997</v>
      </c>
      <c r="D33" s="26">
        <v>1250</v>
      </c>
      <c r="E33" s="25">
        <f t="shared" si="1"/>
        <v>1098.72</v>
      </c>
      <c r="F33" s="26">
        <f>G33+0.4</f>
        <v>26.16</v>
      </c>
      <c r="G33" s="26">
        <v>25.76</v>
      </c>
      <c r="H33" s="26"/>
      <c r="I33" s="26"/>
      <c r="J33" s="26"/>
      <c r="K33" s="26"/>
      <c r="L33" s="26">
        <f t="shared" si="2"/>
        <v>29.87472</v>
      </c>
    </row>
    <row r="34" spans="1:12">
      <c r="B34" s="12" t="s">
        <v>330</v>
      </c>
      <c r="C34" s="25">
        <f t="shared" si="0"/>
        <v>70.17999999999995</v>
      </c>
      <c r="D34" s="26">
        <v>520</v>
      </c>
      <c r="E34" s="25">
        <f t="shared" si="1"/>
        <v>449.82000000000005</v>
      </c>
      <c r="F34" s="26">
        <f t="shared" ref="F34:F35" si="3">G34+0.4</f>
        <v>10.71</v>
      </c>
      <c r="G34" s="26">
        <v>10.31</v>
      </c>
      <c r="H34" s="26">
        <v>9.8000000000000007</v>
      </c>
      <c r="I34" s="26"/>
      <c r="J34" s="26"/>
      <c r="K34" s="26"/>
      <c r="L34" s="26">
        <f t="shared" si="2"/>
        <v>12.230820000000001</v>
      </c>
    </row>
    <row r="35" spans="1:12">
      <c r="B35" s="12" t="s">
        <v>331</v>
      </c>
      <c r="C35" s="25">
        <f t="shared" si="0"/>
        <v>611.22000000000025</v>
      </c>
      <c r="D35" s="26">
        <v>4920</v>
      </c>
      <c r="E35" s="25">
        <f t="shared" si="1"/>
        <v>4308.78</v>
      </c>
      <c r="F35" s="26">
        <f t="shared" si="3"/>
        <v>102.59</v>
      </c>
      <c r="G35" s="26">
        <v>102.19</v>
      </c>
      <c r="H35" s="26">
        <v>95</v>
      </c>
      <c r="I35" s="26"/>
      <c r="J35" s="26"/>
      <c r="K35" s="26"/>
      <c r="L35" s="26">
        <f t="shared" si="2"/>
        <v>117.15778</v>
      </c>
    </row>
    <row r="36" spans="1:12" ht="23.25">
      <c r="A36" s="17"/>
      <c r="F36" s="12"/>
    </row>
    <row r="37" spans="1:12">
      <c r="F37" s="12"/>
    </row>
    <row r="38" spans="1:12">
      <c r="F38" s="12"/>
    </row>
    <row r="39" spans="1:12">
      <c r="F39" s="12"/>
    </row>
    <row r="40" spans="1:12">
      <c r="F40" s="12"/>
    </row>
    <row r="41" spans="1:12">
      <c r="F41" s="12"/>
    </row>
    <row r="42" spans="1:12">
      <c r="F42" s="12"/>
    </row>
    <row r="43" spans="1:12">
      <c r="F43" s="12"/>
    </row>
    <row r="44" spans="1:12">
      <c r="F44" s="12"/>
    </row>
    <row r="45" spans="1:12">
      <c r="F45" s="12"/>
    </row>
    <row r="46" spans="1:12">
      <c r="F46" s="12"/>
    </row>
    <row r="47" spans="1:12">
      <c r="F47" s="12"/>
    </row>
    <row r="48" spans="1:12">
      <c r="F48" s="12"/>
    </row>
    <row r="49" spans="6:6">
      <c r="F49" s="12"/>
    </row>
    <row r="50" spans="6:6">
      <c r="F50" s="12"/>
    </row>
    <row r="51" spans="6:6">
      <c r="F51" s="12"/>
    </row>
    <row r="52" spans="6:6">
      <c r="F52" s="12"/>
    </row>
    <row r="53" spans="6:6">
      <c r="F53" s="12"/>
    </row>
    <row r="54" spans="6:6">
      <c r="F54" s="12"/>
    </row>
    <row r="55" spans="6:6">
      <c r="F55" s="12"/>
    </row>
    <row r="56" spans="6:6">
      <c r="F56" s="12"/>
    </row>
    <row r="57" spans="6:6">
      <c r="F57" s="12"/>
    </row>
    <row r="58" spans="6:6">
      <c r="F58" s="12"/>
    </row>
    <row r="59" spans="6:6">
      <c r="F59" s="12"/>
    </row>
    <row r="60" spans="6:6">
      <c r="F60" s="12"/>
    </row>
    <row r="61" spans="6:6">
      <c r="F61" s="12"/>
    </row>
    <row r="62" spans="6:6">
      <c r="F62" s="12"/>
    </row>
    <row r="63" spans="6:6">
      <c r="F63" s="12"/>
    </row>
    <row r="64" spans="6:6">
      <c r="F64" s="12"/>
    </row>
    <row r="65" spans="6:6">
      <c r="F65" s="12"/>
    </row>
    <row r="66" spans="6:6">
      <c r="F66" s="12"/>
    </row>
    <row r="67" spans="6:6">
      <c r="F67" s="12"/>
    </row>
    <row r="68" spans="6:6">
      <c r="F68" s="12"/>
    </row>
    <row r="69" spans="6:6">
      <c r="F69" s="12"/>
    </row>
    <row r="70" spans="6:6">
      <c r="F70" s="12"/>
    </row>
    <row r="71" spans="6:6">
      <c r="F71" s="12"/>
    </row>
    <row r="72" spans="6:6">
      <c r="F72" s="12"/>
    </row>
    <row r="73" spans="6:6">
      <c r="F73" s="12"/>
    </row>
    <row r="74" spans="6:6">
      <c r="F74" s="12"/>
    </row>
    <row r="75" spans="6:6">
      <c r="F75" s="12"/>
    </row>
    <row r="76" spans="6:6">
      <c r="F76" s="12"/>
    </row>
    <row r="77" spans="6:6">
      <c r="F77" s="12"/>
    </row>
    <row r="78" spans="6:6">
      <c r="F78" s="12"/>
    </row>
    <row r="79" spans="6:6">
      <c r="F79" s="12"/>
    </row>
    <row r="80" spans="6:6">
      <c r="F80" s="12"/>
    </row>
    <row r="81" spans="6:6">
      <c r="F81" s="12"/>
    </row>
    <row r="82" spans="6:6">
      <c r="F82" s="12"/>
    </row>
    <row r="83" spans="6:6">
      <c r="F83" s="12"/>
    </row>
    <row r="84" spans="6:6">
      <c r="F84" s="12"/>
    </row>
    <row r="85" spans="6:6">
      <c r="F85" s="12"/>
    </row>
    <row r="86" spans="6:6">
      <c r="F86" s="12"/>
    </row>
    <row r="87" spans="6:6">
      <c r="F87" s="12"/>
    </row>
    <row r="88" spans="6:6">
      <c r="F88" s="12"/>
    </row>
    <row r="89" spans="6:6">
      <c r="F89" s="12"/>
    </row>
    <row r="90" spans="6:6">
      <c r="F90" s="12"/>
    </row>
    <row r="91" spans="6:6">
      <c r="F91" s="12"/>
    </row>
    <row r="92" spans="6:6">
      <c r="F92" s="12"/>
    </row>
    <row r="93" spans="6:6">
      <c r="F93" s="12"/>
    </row>
    <row r="94" spans="6:6">
      <c r="F94" s="12"/>
    </row>
    <row r="95" spans="6:6">
      <c r="F95" s="12"/>
    </row>
    <row r="96" spans="6:6">
      <c r="F96" s="12"/>
    </row>
    <row r="97" spans="6:6">
      <c r="F97" s="12"/>
    </row>
    <row r="98" spans="6:6">
      <c r="F98" s="12"/>
    </row>
    <row r="99" spans="6:6">
      <c r="F99" s="12"/>
    </row>
    <row r="100" spans="6:6">
      <c r="F100" s="12"/>
    </row>
    <row r="101" spans="6:6">
      <c r="F101" s="12"/>
    </row>
    <row r="102" spans="6:6">
      <c r="F102" s="1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3:L16"/>
  <sheetViews>
    <sheetView topLeftCell="A2" workbookViewId="0">
      <selection activeCell="A3" sqref="A3:XFD3"/>
    </sheetView>
  </sheetViews>
  <sheetFormatPr baseColWidth="10" defaultRowHeight="18.75"/>
  <cols>
    <col min="1" max="1" width="11.42578125" style="35"/>
    <col min="2" max="2" width="22.5703125" style="35" bestFit="1" customWidth="1"/>
    <col min="3" max="3" width="16.140625" style="35" bestFit="1" customWidth="1"/>
    <col min="4" max="4" width="11.85546875" style="35" bestFit="1" customWidth="1"/>
    <col min="5" max="5" width="20.85546875" style="35" bestFit="1" customWidth="1"/>
    <col min="6" max="6" width="14.85546875" style="35" bestFit="1" customWidth="1"/>
    <col min="7" max="7" width="10.7109375" style="35" customWidth="1"/>
    <col min="8" max="8" width="11.85546875" style="35" bestFit="1" customWidth="1"/>
    <col min="9" max="9" width="14" style="35" bestFit="1" customWidth="1"/>
    <col min="10" max="10" width="11.28515625" style="35" customWidth="1"/>
    <col min="11" max="11" width="11.85546875" style="35" customWidth="1"/>
    <col min="12" max="16384" width="11.42578125" style="35"/>
  </cols>
  <sheetData>
    <row r="3" spans="1:12" s="28" customFormat="1" ht="21" customHeight="1">
      <c r="A3" s="28" t="s">
        <v>74</v>
      </c>
      <c r="B3" s="28" t="s">
        <v>0</v>
      </c>
      <c r="C3" s="28" t="s">
        <v>5</v>
      </c>
      <c r="D3" s="28" t="s">
        <v>431</v>
      </c>
      <c r="E3" s="29" t="s">
        <v>4</v>
      </c>
      <c r="F3" s="29" t="s">
        <v>429</v>
      </c>
      <c r="G3" s="29" t="s">
        <v>430</v>
      </c>
      <c r="H3" s="28" t="s">
        <v>152</v>
      </c>
      <c r="I3" s="28" t="s">
        <v>417</v>
      </c>
      <c r="J3" s="28" t="s">
        <v>416</v>
      </c>
      <c r="K3" s="28" t="s">
        <v>423</v>
      </c>
      <c r="L3" s="28" t="s">
        <v>347</v>
      </c>
    </row>
    <row r="5" spans="1:12">
      <c r="B5" s="35" t="s">
        <v>424</v>
      </c>
      <c r="C5" s="35" t="s">
        <v>14</v>
      </c>
      <c r="D5" s="35">
        <v>43</v>
      </c>
      <c r="E5" s="35">
        <f>H5*D5</f>
        <v>960.62</v>
      </c>
      <c r="F5" s="35">
        <f>E5*0.12</f>
        <v>115.2744</v>
      </c>
      <c r="G5" s="35">
        <f>E5+F5</f>
        <v>1075.8943999999999</v>
      </c>
      <c r="H5" s="35">
        <f>K5+0.5</f>
        <v>22.34</v>
      </c>
      <c r="I5" s="35">
        <v>20.6</v>
      </c>
      <c r="J5" s="35">
        <v>20.100000000000001</v>
      </c>
      <c r="K5" s="35">
        <v>21.84</v>
      </c>
      <c r="L5" s="35">
        <v>20.91</v>
      </c>
    </row>
    <row r="6" spans="1:12">
      <c r="B6" s="35" t="s">
        <v>425</v>
      </c>
      <c r="C6" s="35" t="s">
        <v>128</v>
      </c>
      <c r="D6" s="35">
        <v>43</v>
      </c>
      <c r="E6" s="35">
        <f>H6*D6</f>
        <v>2775.2200000000003</v>
      </c>
      <c r="F6" s="35">
        <f t="shared" ref="F6:F9" si="0">E6*0.12</f>
        <v>333.02640000000002</v>
      </c>
      <c r="G6" s="35">
        <f t="shared" ref="G6:G9" si="1">E6+F6</f>
        <v>3108.2464000000004</v>
      </c>
      <c r="H6" s="35">
        <f>L6+0.5</f>
        <v>64.540000000000006</v>
      </c>
      <c r="I6" s="35">
        <v>63.36</v>
      </c>
      <c r="J6" s="35">
        <v>63.08</v>
      </c>
      <c r="L6" s="35">
        <v>64.040000000000006</v>
      </c>
    </row>
    <row r="7" spans="1:12">
      <c r="B7" s="35" t="s">
        <v>426</v>
      </c>
      <c r="C7" s="35" t="s">
        <v>14</v>
      </c>
      <c r="D7" s="35">
        <v>43</v>
      </c>
      <c r="E7" s="35">
        <f>H7*D7</f>
        <v>960.62</v>
      </c>
      <c r="F7" s="35">
        <f t="shared" si="0"/>
        <v>115.2744</v>
      </c>
      <c r="G7" s="35">
        <f t="shared" si="1"/>
        <v>1075.8943999999999</v>
      </c>
      <c r="H7" s="35">
        <f>K7+0.5</f>
        <v>22.34</v>
      </c>
      <c r="I7" s="35">
        <v>20.6</v>
      </c>
      <c r="J7" s="35">
        <v>20.100000000000001</v>
      </c>
      <c r="K7" s="35">
        <v>21.84</v>
      </c>
      <c r="L7" s="35">
        <v>20.91</v>
      </c>
    </row>
    <row r="8" spans="1:12">
      <c r="B8" s="35" t="s">
        <v>427</v>
      </c>
      <c r="C8" s="35" t="s">
        <v>128</v>
      </c>
      <c r="D8" s="35">
        <v>43</v>
      </c>
      <c r="E8" s="35">
        <f>H8*D8</f>
        <v>2775.2200000000003</v>
      </c>
      <c r="F8" s="35">
        <f t="shared" si="0"/>
        <v>333.02640000000002</v>
      </c>
      <c r="G8" s="35">
        <f t="shared" si="1"/>
        <v>3108.2464000000004</v>
      </c>
      <c r="H8" s="35">
        <f>L8+0.5</f>
        <v>64.540000000000006</v>
      </c>
      <c r="I8" s="35">
        <v>63.36</v>
      </c>
      <c r="J8" s="35">
        <v>63.08</v>
      </c>
      <c r="L8" s="35">
        <v>64.040000000000006</v>
      </c>
    </row>
    <row r="9" spans="1:12">
      <c r="B9" s="35" t="s">
        <v>428</v>
      </c>
      <c r="C9" s="35" t="s">
        <v>20</v>
      </c>
      <c r="D9" s="35">
        <v>43</v>
      </c>
      <c r="E9" s="35">
        <f>H9*D9</f>
        <v>4584.2299999999996</v>
      </c>
      <c r="F9" s="35">
        <f t="shared" si="0"/>
        <v>550.10759999999993</v>
      </c>
      <c r="G9" s="35">
        <f t="shared" si="1"/>
        <v>5134.3375999999998</v>
      </c>
      <c r="H9" s="35">
        <f>I9+0.5</f>
        <v>106.61</v>
      </c>
      <c r="I9" s="35">
        <v>106.11</v>
      </c>
      <c r="J9" s="35">
        <v>101.18</v>
      </c>
      <c r="L9" s="35">
        <v>103.73</v>
      </c>
    </row>
    <row r="15" spans="1:12">
      <c r="B15" s="12" t="s">
        <v>312</v>
      </c>
      <c r="D15" s="35">
        <v>43</v>
      </c>
      <c r="E15" s="35">
        <f>H15*D15</f>
        <v>1734.6200000000001</v>
      </c>
      <c r="F15" s="35">
        <f>E15*0.12</f>
        <v>208.15440000000001</v>
      </c>
      <c r="G15" s="35">
        <f>E15+F15</f>
        <v>1942.7744000000002</v>
      </c>
      <c r="H15" s="35">
        <f>K15+0.5</f>
        <v>40.340000000000003</v>
      </c>
      <c r="K15" s="35">
        <v>39.840000000000003</v>
      </c>
      <c r="L15" s="35">
        <v>39.51</v>
      </c>
    </row>
    <row r="16" spans="1:12">
      <c r="B16" s="12" t="s">
        <v>313</v>
      </c>
      <c r="D16" s="35">
        <v>43</v>
      </c>
      <c r="E16" s="35">
        <f>H16*D16</f>
        <v>6024.3</v>
      </c>
      <c r="F16" s="35">
        <f>E16*0.12</f>
        <v>722.91599999999994</v>
      </c>
      <c r="G16" s="35">
        <f>E16+F16</f>
        <v>6747.2160000000003</v>
      </c>
      <c r="H16" s="35">
        <f>K16+0.5</f>
        <v>140.1</v>
      </c>
      <c r="K16" s="35">
        <v>139.6</v>
      </c>
      <c r="L16" s="35">
        <v>138.41</v>
      </c>
    </row>
  </sheetData>
  <pageMargins left="0.7" right="0.7" top="0.75" bottom="0.75" header="0.3" footer="0.3"/>
  <pageSetup paperSize="9" scale="51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O93"/>
  <sheetViews>
    <sheetView topLeftCell="B1" zoomScale="85" zoomScaleNormal="85" workbookViewId="0">
      <pane ySplit="1" topLeftCell="A2" activePane="bottomLeft" state="frozen"/>
      <selection pane="bottomLeft" activeCell="D5" sqref="D5"/>
    </sheetView>
  </sheetViews>
  <sheetFormatPr baseColWidth="10" defaultColWidth="21.7109375" defaultRowHeight="18.75"/>
  <cols>
    <col min="1" max="1" width="21.7109375" style="12"/>
    <col min="2" max="2" width="46.85546875" style="12" customWidth="1"/>
    <col min="4" max="4" width="21.7109375" style="12"/>
    <col min="7" max="7" width="21.7109375" style="12"/>
    <col min="8" max="8" width="15.42578125" style="12" customWidth="1"/>
    <col min="9" max="9" width="16.140625" style="12" customWidth="1"/>
    <col min="10" max="10" width="16.28515625" style="12" customWidth="1"/>
    <col min="11" max="11" width="17" style="12" customWidth="1"/>
    <col min="12" max="13" width="21.7109375" style="12"/>
    <col min="16" max="16384" width="21.7109375" style="12"/>
  </cols>
  <sheetData>
    <row r="1" spans="1:15">
      <c r="A1" s="14" t="s">
        <v>305</v>
      </c>
      <c r="B1" s="15" t="s">
        <v>343</v>
      </c>
      <c r="C1" s="2" t="s">
        <v>291</v>
      </c>
      <c r="D1" s="16" t="s">
        <v>339</v>
      </c>
      <c r="E1" s="2" t="s">
        <v>352</v>
      </c>
      <c r="F1" s="2" t="s">
        <v>153</v>
      </c>
      <c r="G1" s="15" t="s">
        <v>311</v>
      </c>
      <c r="H1" s="15" t="s">
        <v>329</v>
      </c>
      <c r="I1" s="15" t="s">
        <v>323</v>
      </c>
      <c r="J1" s="15" t="s">
        <v>340</v>
      </c>
      <c r="K1" s="15" t="s">
        <v>347</v>
      </c>
      <c r="L1" s="15" t="s">
        <v>292</v>
      </c>
      <c r="M1" s="16" t="s">
        <v>342</v>
      </c>
      <c r="N1" s="2"/>
      <c r="O1" s="2"/>
    </row>
    <row r="2" spans="1:15">
      <c r="A2" s="12" t="s">
        <v>372</v>
      </c>
      <c r="B2" s="12" t="s">
        <v>375</v>
      </c>
      <c r="C2">
        <f>D2-E2</f>
        <v>69.539999999999964</v>
      </c>
      <c r="D2" s="12">
        <v>600</v>
      </c>
      <c r="E2">
        <f>F2*42</f>
        <v>530.46</v>
      </c>
      <c r="F2" s="12">
        <v>12.63</v>
      </c>
      <c r="G2" s="12">
        <v>12.99</v>
      </c>
      <c r="K2" s="12">
        <v>12.23</v>
      </c>
      <c r="L2" s="12">
        <f>((F2/5)*0.71)+F2</f>
        <v>14.42346</v>
      </c>
    </row>
    <row r="3" spans="1:15">
      <c r="B3" s="12" t="s">
        <v>376</v>
      </c>
      <c r="C3">
        <f t="shared" ref="C3:C9" si="0">D3-E3</f>
        <v>257.61999999999989</v>
      </c>
      <c r="D3" s="12">
        <v>2080</v>
      </c>
      <c r="E3">
        <f t="shared" ref="E3:E10" si="1">F3*42</f>
        <v>1822.38</v>
      </c>
      <c r="F3" s="12">
        <v>43.39</v>
      </c>
      <c r="G3" s="12">
        <v>42.99</v>
      </c>
      <c r="L3" s="12">
        <f t="shared" ref="L3:L10" si="2">((F3/5)*0.71)+F3</f>
        <v>49.551380000000002</v>
      </c>
    </row>
    <row r="4" spans="1:15">
      <c r="B4" s="12" t="s">
        <v>374</v>
      </c>
      <c r="C4">
        <f t="shared" si="0"/>
        <v>413.61999999999989</v>
      </c>
      <c r="D4" s="12">
        <v>3370</v>
      </c>
      <c r="E4">
        <f t="shared" si="1"/>
        <v>2956.38</v>
      </c>
      <c r="F4" s="12">
        <v>70.39</v>
      </c>
      <c r="G4" s="12">
        <v>69.989999999999995</v>
      </c>
      <c r="L4" s="12">
        <f t="shared" si="2"/>
        <v>80.385379999999998</v>
      </c>
    </row>
    <row r="5" spans="1:15">
      <c r="C5">
        <f t="shared" si="0"/>
        <v>0</v>
      </c>
      <c r="E5">
        <f t="shared" si="1"/>
        <v>0</v>
      </c>
      <c r="F5" s="12"/>
      <c r="L5" s="12">
        <f t="shared" si="2"/>
        <v>0</v>
      </c>
    </row>
    <row r="6" spans="1:15">
      <c r="C6">
        <f t="shared" si="0"/>
        <v>0</v>
      </c>
      <c r="E6">
        <f t="shared" si="1"/>
        <v>0</v>
      </c>
      <c r="F6" s="12"/>
      <c r="L6" s="12">
        <f t="shared" si="2"/>
        <v>0</v>
      </c>
    </row>
    <row r="7" spans="1:15">
      <c r="A7" s="12" t="s">
        <v>373</v>
      </c>
      <c r="C7">
        <f t="shared" si="0"/>
        <v>0</v>
      </c>
      <c r="E7">
        <f t="shared" si="1"/>
        <v>0</v>
      </c>
      <c r="F7" s="12"/>
      <c r="L7" s="12">
        <f t="shared" si="2"/>
        <v>0</v>
      </c>
    </row>
    <row r="8" spans="1:15">
      <c r="B8" s="12" t="s">
        <v>380</v>
      </c>
      <c r="C8">
        <f t="shared" si="0"/>
        <v>0</v>
      </c>
      <c r="E8">
        <f t="shared" si="1"/>
        <v>0</v>
      </c>
      <c r="F8" s="12"/>
      <c r="G8" s="12">
        <v>34.979999999999997</v>
      </c>
      <c r="J8" s="12">
        <v>65.760000000000005</v>
      </c>
      <c r="L8" s="12">
        <f t="shared" si="2"/>
        <v>0</v>
      </c>
    </row>
    <row r="9" spans="1:15">
      <c r="B9" s="12" t="s">
        <v>381</v>
      </c>
      <c r="C9">
        <f t="shared" si="0"/>
        <v>0</v>
      </c>
      <c r="E9">
        <f t="shared" si="1"/>
        <v>0</v>
      </c>
      <c r="F9" s="12"/>
      <c r="G9" s="12">
        <v>50.81</v>
      </c>
      <c r="J9" s="12">
        <v>95.52</v>
      </c>
      <c r="L9" s="12">
        <f t="shared" si="2"/>
        <v>0</v>
      </c>
    </row>
    <row r="10" spans="1:15">
      <c r="E10">
        <f t="shared" si="1"/>
        <v>0</v>
      </c>
      <c r="F10" s="12"/>
      <c r="L10" s="12">
        <f t="shared" si="2"/>
        <v>0</v>
      </c>
    </row>
    <row r="11" spans="1:15">
      <c r="F11" s="12"/>
    </row>
    <row r="12" spans="1:15">
      <c r="F12" s="12"/>
    </row>
    <row r="13" spans="1:15">
      <c r="F13" s="12"/>
    </row>
    <row r="14" spans="1:15">
      <c r="F14" s="12"/>
    </row>
    <row r="15" spans="1:15">
      <c r="F15" s="12"/>
    </row>
    <row r="16" spans="1:15">
      <c r="F16" s="12"/>
    </row>
    <row r="17" spans="1:6">
      <c r="F17" s="12"/>
    </row>
    <row r="18" spans="1:6">
      <c r="F18" s="12"/>
    </row>
    <row r="19" spans="1:6">
      <c r="F19" s="12"/>
    </row>
    <row r="20" spans="1:6">
      <c r="F20" s="12"/>
    </row>
    <row r="21" spans="1:6">
      <c r="F21" s="12"/>
    </row>
    <row r="22" spans="1:6">
      <c r="F22" s="12"/>
    </row>
    <row r="23" spans="1:6">
      <c r="F23" s="12"/>
    </row>
    <row r="24" spans="1:6">
      <c r="B24" s="13"/>
      <c r="F24" s="12"/>
    </row>
    <row r="25" spans="1:6">
      <c r="F25" s="12"/>
    </row>
    <row r="26" spans="1:6">
      <c r="F26" s="12"/>
    </row>
    <row r="27" spans="1:6" ht="23.25">
      <c r="A27" s="17"/>
      <c r="F27" s="12"/>
    </row>
    <row r="28" spans="1:6">
      <c r="F28" s="12"/>
    </row>
    <row r="29" spans="1:6">
      <c r="F29" s="12"/>
    </row>
    <row r="30" spans="1:6">
      <c r="F30" s="12"/>
    </row>
    <row r="31" spans="1:6">
      <c r="F31" s="12"/>
    </row>
    <row r="32" spans="1:6">
      <c r="F32" s="12"/>
    </row>
    <row r="33" spans="6:6">
      <c r="F33" s="12"/>
    </row>
    <row r="34" spans="6:6">
      <c r="F34" s="12"/>
    </row>
    <row r="35" spans="6:6">
      <c r="F35" s="12"/>
    </row>
    <row r="36" spans="6:6">
      <c r="F36" s="12"/>
    </row>
    <row r="37" spans="6:6">
      <c r="F37" s="12"/>
    </row>
    <row r="38" spans="6:6">
      <c r="F38" s="12"/>
    </row>
    <row r="39" spans="6:6">
      <c r="F39" s="12"/>
    </row>
    <row r="40" spans="6:6">
      <c r="F40" s="12"/>
    </row>
    <row r="41" spans="6:6">
      <c r="F41" s="12"/>
    </row>
    <row r="42" spans="6:6">
      <c r="F42" s="12"/>
    </row>
    <row r="43" spans="6:6">
      <c r="F43" s="12"/>
    </row>
    <row r="44" spans="6:6">
      <c r="F44" s="12"/>
    </row>
    <row r="45" spans="6:6">
      <c r="F45" s="12"/>
    </row>
    <row r="46" spans="6:6">
      <c r="F46" s="12"/>
    </row>
    <row r="47" spans="6:6">
      <c r="F47" s="12"/>
    </row>
    <row r="48" spans="6:6">
      <c r="F48" s="12"/>
    </row>
    <row r="49" spans="6:6">
      <c r="F49" s="12"/>
    </row>
    <row r="50" spans="6:6">
      <c r="F50" s="12"/>
    </row>
    <row r="51" spans="6:6">
      <c r="F51" s="12"/>
    </row>
    <row r="52" spans="6:6">
      <c r="F52" s="12"/>
    </row>
    <row r="53" spans="6:6">
      <c r="F53" s="12"/>
    </row>
    <row r="54" spans="6:6">
      <c r="F54" s="12"/>
    </row>
    <row r="55" spans="6:6">
      <c r="F55" s="12"/>
    </row>
    <row r="56" spans="6:6">
      <c r="F56" s="12"/>
    </row>
    <row r="57" spans="6:6">
      <c r="F57" s="12"/>
    </row>
    <row r="58" spans="6:6">
      <c r="F58" s="12"/>
    </row>
    <row r="59" spans="6:6">
      <c r="F59" s="12"/>
    </row>
    <row r="60" spans="6:6">
      <c r="F60" s="12"/>
    </row>
    <row r="61" spans="6:6">
      <c r="F61" s="12"/>
    </row>
    <row r="62" spans="6:6">
      <c r="F62" s="12"/>
    </row>
    <row r="63" spans="6:6">
      <c r="F63" s="12"/>
    </row>
    <row r="64" spans="6:6">
      <c r="F64" s="12"/>
    </row>
    <row r="65" spans="6:6">
      <c r="F65" s="12"/>
    </row>
    <row r="66" spans="6:6">
      <c r="F66" s="12"/>
    </row>
    <row r="67" spans="6:6">
      <c r="F67" s="12"/>
    </row>
    <row r="68" spans="6:6">
      <c r="F68" s="12"/>
    </row>
    <row r="69" spans="6:6">
      <c r="F69" s="12"/>
    </row>
    <row r="70" spans="6:6">
      <c r="F70" s="12"/>
    </row>
    <row r="71" spans="6:6">
      <c r="F71" s="12"/>
    </row>
    <row r="72" spans="6:6">
      <c r="F72" s="12"/>
    </row>
    <row r="73" spans="6:6">
      <c r="F73" s="12"/>
    </row>
    <row r="74" spans="6:6">
      <c r="F74" s="12"/>
    </row>
    <row r="75" spans="6:6">
      <c r="F75" s="12"/>
    </row>
    <row r="76" spans="6:6">
      <c r="F76" s="12"/>
    </row>
    <row r="77" spans="6:6">
      <c r="F77" s="12"/>
    </row>
    <row r="78" spans="6:6">
      <c r="F78" s="12"/>
    </row>
    <row r="79" spans="6:6">
      <c r="F79" s="12"/>
    </row>
    <row r="80" spans="6:6">
      <c r="F80" s="12"/>
    </row>
    <row r="81" spans="6:6">
      <c r="F81" s="12"/>
    </row>
    <row r="82" spans="6:6">
      <c r="F82" s="12"/>
    </row>
    <row r="83" spans="6:6">
      <c r="F83" s="12"/>
    </row>
    <row r="84" spans="6:6">
      <c r="F84" s="12"/>
    </row>
    <row r="85" spans="6:6">
      <c r="F85" s="12"/>
    </row>
    <row r="86" spans="6:6">
      <c r="F86" s="12"/>
    </row>
    <row r="87" spans="6:6">
      <c r="F87" s="12"/>
    </row>
    <row r="88" spans="6:6">
      <c r="F88" s="12"/>
    </row>
    <row r="89" spans="6:6">
      <c r="F89" s="12"/>
    </row>
    <row r="90" spans="6:6">
      <c r="F90" s="12"/>
    </row>
    <row r="91" spans="6:6">
      <c r="F91" s="12"/>
    </row>
    <row r="92" spans="6:6">
      <c r="F92" s="12"/>
    </row>
    <row r="93" spans="6:6">
      <c r="F93" s="1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>
  <dimension ref="A1:P89"/>
  <sheetViews>
    <sheetView topLeftCell="B1" zoomScale="85" zoomScaleNormal="85" workbookViewId="0">
      <pane ySplit="1" topLeftCell="A2" activePane="bottomLeft" state="frozen"/>
      <selection activeCell="D1" sqref="D1"/>
      <selection pane="bottomLeft" activeCell="E17" sqref="E17"/>
    </sheetView>
  </sheetViews>
  <sheetFormatPr baseColWidth="10" defaultColWidth="15.42578125" defaultRowHeight="21" customHeight="1"/>
  <cols>
    <col min="1" max="1" width="15.42578125" style="2"/>
    <col min="2" max="2" width="37.7109375" style="4" customWidth="1"/>
    <col min="3" max="3" width="16" style="2" customWidth="1"/>
    <col min="4" max="4" width="20.42578125" style="2" customWidth="1"/>
    <col min="5" max="5" width="21.42578125" style="2" customWidth="1"/>
    <col min="6" max="6" width="17.85546875" style="24" customWidth="1"/>
    <col min="7" max="7" width="15.42578125" style="2"/>
    <col min="8" max="8" width="25" style="2" customWidth="1"/>
    <col min="9" max="11" width="25.28515625" style="2" customWidth="1"/>
    <col min="12" max="13" width="15.42578125" style="2"/>
    <col min="15" max="16384" width="15.42578125" style="2"/>
  </cols>
  <sheetData>
    <row r="1" spans="1:13" ht="21" customHeight="1" thickBot="1">
      <c r="A1" s="1" t="s">
        <v>74</v>
      </c>
      <c r="B1" s="1" t="s">
        <v>0</v>
      </c>
      <c r="C1" s="1" t="s">
        <v>5</v>
      </c>
      <c r="D1" s="1" t="s">
        <v>344</v>
      </c>
      <c r="E1" s="2" t="s">
        <v>339</v>
      </c>
      <c r="F1" s="1" t="s">
        <v>349</v>
      </c>
      <c r="G1" s="2" t="s">
        <v>152</v>
      </c>
      <c r="H1" s="1" t="s">
        <v>129</v>
      </c>
      <c r="I1" s="1" t="s">
        <v>195</v>
      </c>
      <c r="J1" s="1" t="s">
        <v>350</v>
      </c>
      <c r="K1" s="1" t="s">
        <v>347</v>
      </c>
      <c r="L1" s="2" t="s">
        <v>292</v>
      </c>
      <c r="M1" s="2" t="s">
        <v>342</v>
      </c>
    </row>
    <row r="2" spans="1:13" ht="21" customHeight="1" thickBot="1">
      <c r="B2" s="39">
        <v>3</v>
      </c>
      <c r="H2" s="11"/>
      <c r="I2" s="18"/>
      <c r="J2" s="21"/>
      <c r="K2" s="21"/>
    </row>
    <row r="3" spans="1:13" ht="21" customHeight="1" thickBot="1">
      <c r="B3" s="39"/>
      <c r="H3" s="11"/>
      <c r="I3" s="18"/>
      <c r="J3" s="21"/>
      <c r="K3" s="21"/>
    </row>
    <row r="4" spans="1:13" ht="21" customHeight="1" thickBot="1">
      <c r="A4" s="2" t="s">
        <v>243</v>
      </c>
      <c r="B4" s="4" t="s">
        <v>420</v>
      </c>
      <c r="C4" s="2" t="s">
        <v>131</v>
      </c>
      <c r="D4" s="2">
        <f>E4-F4</f>
        <v>3.5999999999999943</v>
      </c>
      <c r="E4" s="2">
        <v>180</v>
      </c>
      <c r="F4" s="24">
        <f>G4*42</f>
        <v>176.4</v>
      </c>
      <c r="G4" s="2">
        <v>4.2</v>
      </c>
      <c r="H4" s="11">
        <v>3.78</v>
      </c>
      <c r="I4" s="18">
        <v>3.8</v>
      </c>
      <c r="J4" s="21"/>
      <c r="K4" s="21">
        <v>4.01</v>
      </c>
      <c r="L4" s="2">
        <f>((G4/5)*0.71)+G4</f>
        <v>4.7964000000000002</v>
      </c>
    </row>
    <row r="5" spans="1:13" ht="21" customHeight="1" thickBot="1">
      <c r="A5" s="2" t="s">
        <v>243</v>
      </c>
      <c r="B5" s="4" t="s">
        <v>240</v>
      </c>
      <c r="C5" s="2" t="s">
        <v>134</v>
      </c>
      <c r="D5" s="2">
        <f>E5-F5</f>
        <v>23.960000000000036</v>
      </c>
      <c r="E5" s="2">
        <v>365</v>
      </c>
      <c r="F5" s="24">
        <f>G5*42</f>
        <v>341.03999999999996</v>
      </c>
      <c r="G5" s="2">
        <v>8.1199999999999992</v>
      </c>
      <c r="H5" s="11">
        <v>7.62</v>
      </c>
      <c r="I5" s="18">
        <v>7.62</v>
      </c>
      <c r="J5" s="21"/>
      <c r="K5" s="21"/>
      <c r="L5" s="2">
        <f t="shared" ref="L5:L14" si="0">((G5/5)*0.71)+G5</f>
        <v>9.2730399999999982</v>
      </c>
    </row>
    <row r="6" spans="1:13" ht="21" customHeight="1" thickBot="1">
      <c r="A6" s="2" t="s">
        <v>243</v>
      </c>
      <c r="B6" s="4" t="s">
        <v>260</v>
      </c>
      <c r="C6" s="2" t="s">
        <v>253</v>
      </c>
      <c r="D6" s="2">
        <f t="shared" ref="D6:D31" si="1">E6-F6</f>
        <v>65.199999999999989</v>
      </c>
      <c r="E6" s="2">
        <v>460</v>
      </c>
      <c r="F6" s="24">
        <f t="shared" ref="F6:F14" si="2">G6*42</f>
        <v>394.8</v>
      </c>
      <c r="G6" s="2">
        <v>9.4</v>
      </c>
      <c r="H6" s="11">
        <v>8.9</v>
      </c>
      <c r="I6" s="18">
        <v>8.89</v>
      </c>
      <c r="J6" s="21"/>
      <c r="K6" s="21"/>
      <c r="L6" s="2">
        <f t="shared" si="0"/>
        <v>10.7348</v>
      </c>
    </row>
    <row r="7" spans="1:13" ht="21" customHeight="1" thickBot="1">
      <c r="A7" s="2" t="s">
        <v>243</v>
      </c>
      <c r="B7" s="4" t="s">
        <v>241</v>
      </c>
      <c r="C7" s="2" t="s">
        <v>252</v>
      </c>
      <c r="D7" s="2">
        <f t="shared" si="1"/>
        <v>61.860000000000014</v>
      </c>
      <c r="E7" s="2">
        <v>510</v>
      </c>
      <c r="F7" s="24">
        <f t="shared" si="2"/>
        <v>448.14</v>
      </c>
      <c r="G7" s="2">
        <v>10.67</v>
      </c>
      <c r="H7" s="11">
        <v>10.17</v>
      </c>
      <c r="I7" s="18">
        <v>10.16</v>
      </c>
      <c r="J7" s="21"/>
      <c r="K7" s="21"/>
      <c r="L7" s="2">
        <f t="shared" si="0"/>
        <v>12.185140000000001</v>
      </c>
    </row>
    <row r="8" spans="1:13" ht="21" customHeight="1" thickBot="1">
      <c r="A8" s="2" t="s">
        <v>243</v>
      </c>
      <c r="B8" s="4" t="s">
        <v>242</v>
      </c>
      <c r="C8" s="2" t="s">
        <v>135</v>
      </c>
      <c r="D8" s="2">
        <f t="shared" si="1"/>
        <v>65.17999999999995</v>
      </c>
      <c r="E8" s="2">
        <v>620</v>
      </c>
      <c r="F8" s="24">
        <f t="shared" si="2"/>
        <v>554.82000000000005</v>
      </c>
      <c r="G8" s="2">
        <f>H8+0.5</f>
        <v>13.21</v>
      </c>
      <c r="H8" s="11">
        <v>12.71</v>
      </c>
      <c r="I8" s="18">
        <v>12.7</v>
      </c>
      <c r="J8" s="21"/>
      <c r="K8" s="21"/>
      <c r="L8" s="2">
        <f t="shared" si="0"/>
        <v>15.085820000000002</v>
      </c>
    </row>
    <row r="9" spans="1:13" ht="21" customHeight="1" thickBot="1">
      <c r="A9" s="2" t="s">
        <v>243</v>
      </c>
      <c r="B9" s="4" t="s">
        <v>261</v>
      </c>
      <c r="C9" s="2" t="s">
        <v>254</v>
      </c>
      <c r="D9" s="2">
        <f t="shared" si="1"/>
        <v>68.5</v>
      </c>
      <c r="E9" s="2">
        <v>730</v>
      </c>
      <c r="F9" s="24">
        <f t="shared" si="2"/>
        <v>661.5</v>
      </c>
      <c r="G9" s="2">
        <v>15.75</v>
      </c>
      <c r="H9" s="11">
        <v>15.25</v>
      </c>
      <c r="I9" s="18">
        <v>15.24</v>
      </c>
      <c r="J9" s="21"/>
      <c r="K9" s="21"/>
      <c r="L9" s="2">
        <f t="shared" si="0"/>
        <v>17.986499999999999</v>
      </c>
    </row>
    <row r="10" spans="1:13" ht="21" customHeight="1" thickBot="1">
      <c r="A10" s="2" t="s">
        <v>243</v>
      </c>
      <c r="B10" s="4" t="s">
        <v>262</v>
      </c>
      <c r="C10" s="2" t="s">
        <v>255</v>
      </c>
      <c r="D10" s="2">
        <f t="shared" si="1"/>
        <v>124.72000000000003</v>
      </c>
      <c r="E10" s="2">
        <v>1000</v>
      </c>
      <c r="F10" s="24">
        <f t="shared" si="2"/>
        <v>875.28</v>
      </c>
      <c r="G10" s="2">
        <v>20.84</v>
      </c>
      <c r="H10" s="11">
        <v>20.34</v>
      </c>
      <c r="I10" s="18">
        <v>20.329999999999998</v>
      </c>
      <c r="J10" s="21"/>
      <c r="K10" s="21"/>
      <c r="L10" s="2">
        <f t="shared" si="0"/>
        <v>23.79928</v>
      </c>
    </row>
    <row r="11" spans="1:13" ht="21" customHeight="1" thickBot="1">
      <c r="A11" s="2" t="s">
        <v>243</v>
      </c>
      <c r="B11" s="4" t="s">
        <v>263</v>
      </c>
      <c r="C11" s="2" t="s">
        <v>256</v>
      </c>
      <c r="D11" s="2">
        <f t="shared" si="1"/>
        <v>151.3599999999999</v>
      </c>
      <c r="E11" s="2">
        <v>1240</v>
      </c>
      <c r="F11" s="24">
        <f t="shared" si="2"/>
        <v>1088.6400000000001</v>
      </c>
      <c r="G11" s="2">
        <v>25.92</v>
      </c>
      <c r="H11" s="11">
        <v>25.42</v>
      </c>
      <c r="I11" s="18">
        <v>25.41</v>
      </c>
      <c r="J11" s="21"/>
      <c r="K11" s="21"/>
      <c r="L11" s="2">
        <f t="shared" si="0"/>
        <v>29.600640000000002</v>
      </c>
    </row>
    <row r="12" spans="1:13" ht="21" customHeight="1" thickBot="1">
      <c r="A12" s="2" t="s">
        <v>243</v>
      </c>
      <c r="B12" s="4" t="s">
        <v>264</v>
      </c>
      <c r="C12" s="2" t="s">
        <v>257</v>
      </c>
      <c r="D12" s="2">
        <f t="shared" si="1"/>
        <v>177.57999999999993</v>
      </c>
      <c r="E12" s="2">
        <v>1480</v>
      </c>
      <c r="F12" s="24">
        <f t="shared" si="2"/>
        <v>1302.42</v>
      </c>
      <c r="G12" s="2">
        <v>31.01</v>
      </c>
      <c r="H12" s="11">
        <v>30.51</v>
      </c>
      <c r="I12" s="18">
        <v>30.49</v>
      </c>
      <c r="J12" s="21"/>
      <c r="K12" s="21"/>
      <c r="L12" s="2">
        <f t="shared" si="0"/>
        <v>35.413420000000002</v>
      </c>
    </row>
    <row r="13" spans="1:13" ht="21" customHeight="1" thickBot="1">
      <c r="A13" s="2" t="s">
        <v>243</v>
      </c>
      <c r="B13" s="4" t="s">
        <v>265</v>
      </c>
      <c r="C13" s="2" t="s">
        <v>258</v>
      </c>
      <c r="D13" s="2">
        <f t="shared" si="1"/>
        <v>180.90000000000009</v>
      </c>
      <c r="E13" s="2">
        <v>1590</v>
      </c>
      <c r="F13" s="24">
        <f t="shared" si="2"/>
        <v>1409.1</v>
      </c>
      <c r="G13" s="2">
        <v>33.549999999999997</v>
      </c>
      <c r="H13" s="11">
        <v>33.049999999999997</v>
      </c>
      <c r="I13" s="18">
        <v>33.04</v>
      </c>
      <c r="J13" s="21"/>
      <c r="K13" s="21"/>
      <c r="L13" s="2">
        <f t="shared" si="0"/>
        <v>38.314099999999996</v>
      </c>
    </row>
    <row r="14" spans="1:13" ht="21" customHeight="1" thickBot="1">
      <c r="A14" s="2" t="s">
        <v>243</v>
      </c>
      <c r="B14" s="4" t="s">
        <v>266</v>
      </c>
      <c r="C14" s="2" t="s">
        <v>259</v>
      </c>
      <c r="D14" s="2">
        <f t="shared" si="1"/>
        <v>213.91999999999985</v>
      </c>
      <c r="E14" s="2">
        <v>1820</v>
      </c>
      <c r="F14" s="24">
        <f t="shared" si="2"/>
        <v>1606.0800000000002</v>
      </c>
      <c r="G14" s="2">
        <v>38.24</v>
      </c>
      <c r="H14" s="11">
        <v>38.14</v>
      </c>
      <c r="I14" s="18">
        <v>38.119999999999997</v>
      </c>
      <c r="J14" s="21"/>
      <c r="K14" s="21"/>
      <c r="L14" s="2">
        <f t="shared" si="0"/>
        <v>43.670079999999999</v>
      </c>
    </row>
    <row r="15" spans="1:13" ht="21" customHeight="1">
      <c r="H15" s="11"/>
      <c r="I15" s="21"/>
      <c r="J15" s="21"/>
      <c r="K15" s="21"/>
    </row>
    <row r="16" spans="1:13" ht="21" customHeight="1">
      <c r="H16" s="11"/>
      <c r="I16" s="21"/>
      <c r="J16" s="21"/>
      <c r="K16" s="21"/>
    </row>
    <row r="17" spans="1:12" ht="21" customHeight="1">
      <c r="H17" s="11"/>
      <c r="I17" s="21"/>
      <c r="J17" s="21"/>
      <c r="K17" s="21"/>
    </row>
    <row r="18" spans="1:12" ht="21" customHeight="1">
      <c r="H18" s="11"/>
      <c r="I18" s="21"/>
      <c r="J18" s="21"/>
      <c r="K18" s="21"/>
    </row>
    <row r="19" spans="1:12" ht="21" customHeight="1" thickBot="1">
      <c r="A19" s="1" t="s">
        <v>74</v>
      </c>
      <c r="B19" s="1" t="s">
        <v>0</v>
      </c>
      <c r="C19" s="1" t="s">
        <v>5</v>
      </c>
      <c r="D19" s="1" t="s">
        <v>344</v>
      </c>
      <c r="E19" s="2" t="s">
        <v>339</v>
      </c>
      <c r="F19" s="1" t="s">
        <v>349</v>
      </c>
      <c r="G19" s="2" t="s">
        <v>152</v>
      </c>
      <c r="H19" s="1" t="s">
        <v>129</v>
      </c>
      <c r="I19" s="1" t="s">
        <v>195</v>
      </c>
      <c r="J19" s="1" t="s">
        <v>350</v>
      </c>
      <c r="K19" s="1" t="s">
        <v>347</v>
      </c>
      <c r="L19" s="2" t="s">
        <v>292</v>
      </c>
    </row>
    <row r="20" spans="1:12" ht="21" customHeight="1" thickBot="1">
      <c r="B20" s="39">
        <v>2</v>
      </c>
      <c r="H20" s="11"/>
      <c r="I20" s="18"/>
      <c r="J20" s="21"/>
      <c r="K20" s="21"/>
    </row>
    <row r="21" spans="1:12" ht="21" customHeight="1" thickBot="1">
      <c r="B21" s="39"/>
      <c r="H21" s="11"/>
      <c r="I21" s="18"/>
      <c r="J21" s="21"/>
      <c r="K21" s="21"/>
    </row>
    <row r="22" spans="1:12" ht="21" customHeight="1" thickBot="1">
      <c r="A22" s="2" t="s">
        <v>243</v>
      </c>
      <c r="B22" s="4" t="s">
        <v>240</v>
      </c>
      <c r="C22" s="2" t="s">
        <v>134</v>
      </c>
      <c r="D22" s="2">
        <f t="shared" si="1"/>
        <v>28.960000000000036</v>
      </c>
      <c r="E22" s="2">
        <v>370</v>
      </c>
      <c r="F22" s="24">
        <f>G22*42</f>
        <v>341.03999999999996</v>
      </c>
      <c r="G22" s="2">
        <v>8.1199999999999992</v>
      </c>
      <c r="H22" s="11">
        <v>7.62</v>
      </c>
      <c r="I22" s="18">
        <v>7.62</v>
      </c>
      <c r="J22" s="21"/>
      <c r="K22" s="21"/>
      <c r="L22" s="2">
        <v>8.83</v>
      </c>
    </row>
    <row r="23" spans="1:12" ht="21" customHeight="1" thickBot="1">
      <c r="A23" s="2" t="s">
        <v>243</v>
      </c>
      <c r="B23" s="4" t="s">
        <v>260</v>
      </c>
      <c r="C23" s="2" t="s">
        <v>253</v>
      </c>
      <c r="D23" s="2">
        <f t="shared" si="1"/>
        <v>65.199999999999989</v>
      </c>
      <c r="E23" s="2">
        <v>460</v>
      </c>
      <c r="F23" s="24">
        <f t="shared" ref="F23:F31" si="3">G23*42</f>
        <v>394.8</v>
      </c>
      <c r="G23" s="2">
        <v>9.4</v>
      </c>
      <c r="H23" s="11">
        <v>8.9</v>
      </c>
      <c r="I23" s="18">
        <v>8.89</v>
      </c>
      <c r="J23" s="21"/>
      <c r="K23" s="21"/>
      <c r="L23" s="2">
        <f>0.71*2+G23</f>
        <v>10.82</v>
      </c>
    </row>
    <row r="24" spans="1:12" ht="21" customHeight="1" thickBot="1">
      <c r="A24" s="2" t="s">
        <v>243</v>
      </c>
      <c r="B24" s="4" t="s">
        <v>241</v>
      </c>
      <c r="C24" s="2" t="s">
        <v>252</v>
      </c>
      <c r="D24" s="2">
        <f t="shared" si="1"/>
        <v>61.860000000000014</v>
      </c>
      <c r="E24" s="2">
        <v>510</v>
      </c>
      <c r="F24" s="24">
        <f t="shared" si="3"/>
        <v>448.14</v>
      </c>
      <c r="G24" s="2">
        <v>10.67</v>
      </c>
      <c r="H24" s="11">
        <v>10.17</v>
      </c>
      <c r="I24" s="18">
        <v>10.16</v>
      </c>
      <c r="J24" s="21"/>
      <c r="K24" s="21"/>
      <c r="L24" s="2">
        <f>0.71*2+G24</f>
        <v>12.09</v>
      </c>
    </row>
    <row r="25" spans="1:12" ht="21" customHeight="1" thickBot="1">
      <c r="A25" s="2" t="s">
        <v>243</v>
      </c>
      <c r="B25" s="4" t="s">
        <v>242</v>
      </c>
      <c r="C25" s="2" t="s">
        <v>135</v>
      </c>
      <c r="D25" s="2">
        <f t="shared" si="1"/>
        <v>65.17999999999995</v>
      </c>
      <c r="E25" s="2">
        <v>620</v>
      </c>
      <c r="F25" s="24">
        <f t="shared" si="3"/>
        <v>554.82000000000005</v>
      </c>
      <c r="G25" s="2">
        <f>H25+0.5</f>
        <v>13.21</v>
      </c>
      <c r="H25" s="11">
        <v>12.71</v>
      </c>
      <c r="I25" s="18">
        <v>12.7</v>
      </c>
      <c r="J25" s="21"/>
      <c r="K25" s="21"/>
      <c r="L25" s="2">
        <f>0.71*2+G25</f>
        <v>14.63</v>
      </c>
    </row>
    <row r="26" spans="1:12" ht="21" customHeight="1" thickBot="1">
      <c r="A26" s="2" t="s">
        <v>243</v>
      </c>
      <c r="B26" s="4" t="s">
        <v>261</v>
      </c>
      <c r="C26" s="2" t="s">
        <v>254</v>
      </c>
      <c r="D26" s="2">
        <f t="shared" si="1"/>
        <v>88.5</v>
      </c>
      <c r="E26" s="2">
        <v>750</v>
      </c>
      <c r="F26" s="24">
        <f t="shared" si="3"/>
        <v>661.5</v>
      </c>
      <c r="G26" s="2">
        <v>15.75</v>
      </c>
      <c r="H26" s="11">
        <v>15.25</v>
      </c>
      <c r="I26" s="18">
        <v>15.24</v>
      </c>
      <c r="J26" s="21"/>
      <c r="K26" s="21"/>
      <c r="L26" s="2">
        <f>0.71*3+G26</f>
        <v>17.88</v>
      </c>
    </row>
    <row r="27" spans="1:12" ht="21" customHeight="1" thickBot="1">
      <c r="A27" s="2" t="s">
        <v>243</v>
      </c>
      <c r="B27" s="4" t="s">
        <v>262</v>
      </c>
      <c r="C27" s="2" t="s">
        <v>255</v>
      </c>
      <c r="D27" s="2">
        <f t="shared" si="1"/>
        <v>124.72000000000003</v>
      </c>
      <c r="E27" s="2">
        <v>1000</v>
      </c>
      <c r="F27" s="24">
        <f t="shared" si="3"/>
        <v>875.28</v>
      </c>
      <c r="G27" s="2">
        <v>20.84</v>
      </c>
      <c r="H27" s="11">
        <v>20.34</v>
      </c>
      <c r="I27" s="18">
        <v>20.329999999999998</v>
      </c>
      <c r="J27" s="21"/>
      <c r="K27" s="21"/>
      <c r="L27" s="2">
        <f>0.71*4+G27</f>
        <v>23.68</v>
      </c>
    </row>
    <row r="28" spans="1:12" ht="21" customHeight="1" thickBot="1">
      <c r="A28" s="2" t="s">
        <v>243</v>
      </c>
      <c r="B28" s="4" t="s">
        <v>263</v>
      </c>
      <c r="C28" s="2" t="s">
        <v>256</v>
      </c>
      <c r="D28" s="2">
        <f t="shared" si="1"/>
        <v>151.3599999999999</v>
      </c>
      <c r="E28" s="2">
        <v>1240</v>
      </c>
      <c r="F28" s="24">
        <f t="shared" si="3"/>
        <v>1088.6400000000001</v>
      </c>
      <c r="G28" s="2">
        <v>25.92</v>
      </c>
      <c r="H28" s="11">
        <v>25.42</v>
      </c>
      <c r="I28" s="18">
        <v>25.41</v>
      </c>
      <c r="J28" s="21"/>
      <c r="K28" s="21"/>
      <c r="L28" s="2">
        <f>0.71*5+G28</f>
        <v>29.470000000000002</v>
      </c>
    </row>
    <row r="29" spans="1:12" ht="21" customHeight="1" thickBot="1">
      <c r="A29" s="2" t="s">
        <v>243</v>
      </c>
      <c r="B29" s="4" t="s">
        <v>264</v>
      </c>
      <c r="C29" s="2" t="s">
        <v>257</v>
      </c>
      <c r="D29" s="2">
        <f t="shared" si="1"/>
        <v>177.57999999999993</v>
      </c>
      <c r="E29" s="2">
        <v>1480</v>
      </c>
      <c r="F29" s="24">
        <f t="shared" si="3"/>
        <v>1302.42</v>
      </c>
      <c r="G29" s="2">
        <v>31.01</v>
      </c>
      <c r="H29" s="11">
        <v>30.51</v>
      </c>
      <c r="I29" s="18">
        <v>30.49</v>
      </c>
      <c r="J29" s="21"/>
      <c r="K29" s="21"/>
      <c r="L29" s="2">
        <f>0.71*6+G29</f>
        <v>35.270000000000003</v>
      </c>
    </row>
    <row r="30" spans="1:12" ht="21" customHeight="1" thickBot="1">
      <c r="A30" s="2" t="s">
        <v>243</v>
      </c>
      <c r="B30" s="4" t="s">
        <v>265</v>
      </c>
      <c r="C30" s="2" t="s">
        <v>258</v>
      </c>
      <c r="D30" s="2">
        <f t="shared" si="1"/>
        <v>180.90000000000009</v>
      </c>
      <c r="E30" s="2">
        <v>1590</v>
      </c>
      <c r="F30" s="24">
        <f t="shared" si="3"/>
        <v>1409.1</v>
      </c>
      <c r="G30" s="2">
        <v>33.549999999999997</v>
      </c>
      <c r="H30" s="11">
        <v>33.049999999999997</v>
      </c>
      <c r="I30" s="18">
        <v>33.04</v>
      </c>
      <c r="J30" s="21"/>
      <c r="K30" s="21"/>
      <c r="L30" s="2">
        <f>0.71*6+G30</f>
        <v>37.809999999999995</v>
      </c>
    </row>
    <row r="31" spans="1:12" ht="21" customHeight="1" thickBot="1">
      <c r="A31" s="2" t="s">
        <v>243</v>
      </c>
      <c r="B31" s="4" t="s">
        <v>266</v>
      </c>
      <c r="C31" s="2" t="s">
        <v>259</v>
      </c>
      <c r="D31" s="2">
        <f t="shared" si="1"/>
        <v>213.91999999999985</v>
      </c>
      <c r="E31" s="2">
        <v>1820</v>
      </c>
      <c r="F31" s="24">
        <f t="shared" si="3"/>
        <v>1606.0800000000002</v>
      </c>
      <c r="G31" s="2">
        <v>38.24</v>
      </c>
      <c r="H31" s="11">
        <v>38.14</v>
      </c>
      <c r="I31" s="18">
        <v>38.119999999999997</v>
      </c>
      <c r="J31" s="21"/>
      <c r="K31" s="21"/>
      <c r="L31" s="2">
        <f>0.71*7+G31</f>
        <v>43.21</v>
      </c>
    </row>
    <row r="32" spans="1:12" ht="21" customHeight="1" thickBot="1">
      <c r="I32" s="6"/>
      <c r="J32" s="8"/>
      <c r="K32" s="8"/>
    </row>
    <row r="33" spans="1:14" ht="21" customHeight="1" thickBot="1">
      <c r="H33" s="11"/>
      <c r="I33" s="6"/>
      <c r="J33" s="8"/>
      <c r="K33" s="8"/>
    </row>
    <row r="34" spans="1:14" ht="21" customHeight="1" thickBot="1">
      <c r="H34" s="11"/>
      <c r="I34" s="6"/>
      <c r="J34" s="8"/>
      <c r="K34" s="8"/>
    </row>
    <row r="35" spans="1:14" ht="21" customHeight="1" thickBot="1">
      <c r="H35" s="11"/>
      <c r="I35" s="6"/>
      <c r="J35" s="8"/>
      <c r="K35" s="8"/>
    </row>
    <row r="36" spans="1:14" ht="21" customHeight="1" thickBot="1">
      <c r="A36" s="1" t="s">
        <v>74</v>
      </c>
      <c r="B36" s="1" t="s">
        <v>0</v>
      </c>
      <c r="C36" s="1" t="s">
        <v>5</v>
      </c>
      <c r="D36" s="1" t="s">
        <v>291</v>
      </c>
      <c r="E36" s="1" t="s">
        <v>4</v>
      </c>
      <c r="F36" s="23" t="s">
        <v>349</v>
      </c>
      <c r="G36" s="2" t="s">
        <v>152</v>
      </c>
      <c r="H36" s="1" t="s">
        <v>129</v>
      </c>
      <c r="I36" s="1" t="s">
        <v>195</v>
      </c>
      <c r="J36" s="1"/>
      <c r="K36" s="1"/>
      <c r="L36" s="2" t="s">
        <v>152</v>
      </c>
      <c r="M36" s="2" t="s">
        <v>342</v>
      </c>
      <c r="N36" s="2"/>
    </row>
    <row r="37" spans="1:14" ht="21" customHeight="1" thickBot="1">
      <c r="B37" s="39">
        <v>1</v>
      </c>
      <c r="I37" s="6"/>
      <c r="J37" s="8"/>
      <c r="K37" s="8"/>
      <c r="N37" s="2"/>
    </row>
    <row r="38" spans="1:14" ht="21" customHeight="1" thickBot="1">
      <c r="B38" s="39"/>
      <c r="I38" s="6"/>
      <c r="J38" s="8"/>
      <c r="K38" s="8"/>
      <c r="N38" s="2"/>
    </row>
    <row r="39" spans="1:14" ht="21" customHeight="1" thickBot="1">
      <c r="A39" s="2" t="s">
        <v>243</v>
      </c>
      <c r="B39" s="4" t="s">
        <v>240</v>
      </c>
      <c r="C39" s="2" t="s">
        <v>134</v>
      </c>
      <c r="D39" s="2">
        <f>E39-M39</f>
        <v>24</v>
      </c>
      <c r="E39" s="2">
        <v>360</v>
      </c>
      <c r="H39" s="11">
        <v>7.76</v>
      </c>
      <c r="I39" s="18">
        <v>7.83</v>
      </c>
      <c r="J39" s="21"/>
      <c r="K39" s="21"/>
      <c r="M39" s="2">
        <v>336</v>
      </c>
      <c r="N39" s="2"/>
    </row>
    <row r="40" spans="1:14" ht="21" customHeight="1" thickBot="1">
      <c r="A40" s="2" t="s">
        <v>243</v>
      </c>
      <c r="B40" s="4" t="s">
        <v>260</v>
      </c>
      <c r="C40" s="2" t="s">
        <v>253</v>
      </c>
      <c r="D40" s="2">
        <f t="shared" ref="D40:D48" si="4">E40-M39</f>
        <v>74</v>
      </c>
      <c r="E40" s="2">
        <v>410</v>
      </c>
      <c r="H40" s="11">
        <v>9.06</v>
      </c>
      <c r="I40" s="18">
        <v>9.1300000000000008</v>
      </c>
      <c r="J40" s="21"/>
      <c r="K40" s="21"/>
      <c r="M40" s="2">
        <v>392</v>
      </c>
      <c r="N40" s="2"/>
    </row>
    <row r="41" spans="1:14" ht="21" customHeight="1" thickBot="1">
      <c r="A41" s="2" t="s">
        <v>243</v>
      </c>
      <c r="B41" s="4" t="s">
        <v>241</v>
      </c>
      <c r="C41" s="2" t="s">
        <v>252</v>
      </c>
      <c r="D41" s="2">
        <f t="shared" si="4"/>
        <v>88</v>
      </c>
      <c r="E41" s="2">
        <v>480</v>
      </c>
      <c r="H41" s="11">
        <v>10.35</v>
      </c>
      <c r="I41" s="18">
        <v>10.44</v>
      </c>
      <c r="J41" s="21"/>
      <c r="K41" s="21"/>
      <c r="M41" s="2">
        <v>448</v>
      </c>
      <c r="N41" s="2"/>
    </row>
    <row r="42" spans="1:14" ht="21" customHeight="1" thickBot="1">
      <c r="A42" s="2" t="s">
        <v>243</v>
      </c>
      <c r="B42" s="4" t="s">
        <v>242</v>
      </c>
      <c r="C42" s="2" t="s">
        <v>135</v>
      </c>
      <c r="D42" s="2">
        <f t="shared" si="4"/>
        <v>142</v>
      </c>
      <c r="E42" s="2">
        <v>590</v>
      </c>
      <c r="H42" s="11">
        <v>12.94</v>
      </c>
      <c r="I42" s="18">
        <v>13.05</v>
      </c>
      <c r="J42" s="21"/>
      <c r="K42" s="21"/>
      <c r="M42" s="2">
        <v>560</v>
      </c>
      <c r="N42" s="2"/>
    </row>
    <row r="43" spans="1:14" ht="21" customHeight="1" thickBot="1">
      <c r="A43" s="2" t="s">
        <v>243</v>
      </c>
      <c r="B43" s="4" t="s">
        <v>261</v>
      </c>
      <c r="C43" s="2" t="s">
        <v>254</v>
      </c>
      <c r="D43" s="2">
        <f t="shared" si="4"/>
        <v>160</v>
      </c>
      <c r="E43" s="2">
        <v>720</v>
      </c>
      <c r="H43" s="11">
        <v>15.52</v>
      </c>
      <c r="I43" s="18">
        <v>15.66</v>
      </c>
      <c r="J43" s="21"/>
      <c r="K43" s="21"/>
      <c r="M43" s="2">
        <v>672</v>
      </c>
      <c r="N43" s="2"/>
    </row>
    <row r="44" spans="1:14" ht="21" customHeight="1" thickBot="1">
      <c r="A44" s="2" t="s">
        <v>243</v>
      </c>
      <c r="B44" s="4" t="s">
        <v>262</v>
      </c>
      <c r="C44" s="2" t="s">
        <v>255</v>
      </c>
      <c r="D44" s="2">
        <f t="shared" si="4"/>
        <v>278</v>
      </c>
      <c r="E44" s="2">
        <v>950</v>
      </c>
      <c r="H44" s="11">
        <v>20.7</v>
      </c>
      <c r="I44" s="18">
        <v>20.88</v>
      </c>
      <c r="J44" s="21"/>
      <c r="K44" s="21"/>
      <c r="M44" s="2">
        <v>896</v>
      </c>
      <c r="N44" s="2"/>
    </row>
    <row r="45" spans="1:14" ht="21" customHeight="1" thickBot="1">
      <c r="A45" s="2" t="s">
        <v>243</v>
      </c>
      <c r="B45" s="4" t="s">
        <v>263</v>
      </c>
      <c r="C45" s="2" t="s">
        <v>256</v>
      </c>
      <c r="D45" s="2">
        <f t="shared" si="4"/>
        <v>274</v>
      </c>
      <c r="E45" s="2">
        <v>1170</v>
      </c>
      <c r="H45" s="11">
        <v>25.88</v>
      </c>
      <c r="I45" s="18">
        <v>26.1</v>
      </c>
      <c r="J45" s="21"/>
      <c r="K45" s="21"/>
      <c r="M45" s="2">
        <v>1120</v>
      </c>
      <c r="N45" s="2"/>
    </row>
    <row r="46" spans="1:14" ht="21" customHeight="1" thickBot="1">
      <c r="A46" s="2" t="s">
        <v>243</v>
      </c>
      <c r="B46" s="4" t="s">
        <v>264</v>
      </c>
      <c r="C46" s="2" t="s">
        <v>257</v>
      </c>
      <c r="D46" s="2">
        <f t="shared" si="4"/>
        <v>270</v>
      </c>
      <c r="E46" s="2">
        <v>1390</v>
      </c>
      <c r="H46" s="11">
        <v>31.05</v>
      </c>
      <c r="I46" s="18">
        <v>31.32</v>
      </c>
      <c r="J46" s="21"/>
      <c r="K46" s="21"/>
      <c r="M46" s="2">
        <v>1344</v>
      </c>
      <c r="N46" s="2"/>
    </row>
    <row r="47" spans="1:14" ht="21" customHeight="1" thickBot="1">
      <c r="A47" s="2" t="s">
        <v>243</v>
      </c>
      <c r="B47" s="4" t="s">
        <v>265</v>
      </c>
      <c r="C47" s="2" t="s">
        <v>258</v>
      </c>
      <c r="D47" s="2">
        <f t="shared" si="4"/>
        <v>156</v>
      </c>
      <c r="E47" s="2">
        <v>1500</v>
      </c>
      <c r="H47" s="11">
        <v>33.630000000000003</v>
      </c>
      <c r="I47" s="18">
        <v>33.93</v>
      </c>
      <c r="J47" s="21"/>
      <c r="K47" s="21"/>
      <c r="M47" s="2">
        <v>1456</v>
      </c>
      <c r="N47" s="2"/>
    </row>
    <row r="48" spans="1:14" ht="21" customHeight="1" thickBot="1">
      <c r="A48" s="2" t="s">
        <v>243</v>
      </c>
      <c r="B48" s="4" t="s">
        <v>266</v>
      </c>
      <c r="C48" s="2" t="s">
        <v>259</v>
      </c>
      <c r="D48" s="2">
        <f t="shared" si="4"/>
        <v>274</v>
      </c>
      <c r="E48" s="2">
        <v>1730</v>
      </c>
      <c r="H48" s="11">
        <v>38.81</v>
      </c>
      <c r="I48" s="18">
        <v>39.15</v>
      </c>
      <c r="J48" s="21"/>
      <c r="K48" s="21"/>
      <c r="M48" s="2">
        <v>1681</v>
      </c>
      <c r="N48" s="2"/>
    </row>
    <row r="49" spans="3:16" ht="21" customHeight="1" thickBot="1">
      <c r="C49" s="3"/>
      <c r="I49" s="6"/>
      <c r="J49" s="8"/>
      <c r="K49" s="8"/>
    </row>
    <row r="50" spans="3:16" ht="21" customHeight="1" thickBot="1">
      <c r="I50" s="6"/>
      <c r="J50" s="8"/>
      <c r="K50" s="8"/>
    </row>
    <row r="51" spans="3:16" ht="21" customHeight="1" thickBot="1">
      <c r="H51" s="11"/>
      <c r="I51" s="6"/>
      <c r="J51" s="8"/>
      <c r="K51" s="8"/>
      <c r="L51"/>
      <c r="M51"/>
      <c r="N51" s="2"/>
      <c r="P51"/>
    </row>
    <row r="52" spans="3:16" ht="21" customHeight="1" thickBot="1">
      <c r="H52" s="11"/>
      <c r="I52" s="6"/>
      <c r="J52" s="8"/>
      <c r="K52" s="8"/>
      <c r="L52"/>
      <c r="M52"/>
      <c r="N52" s="2"/>
      <c r="P52"/>
    </row>
    <row r="53" spans="3:16" ht="21" customHeight="1" thickBot="1">
      <c r="H53" s="11"/>
      <c r="I53" s="6"/>
      <c r="J53" s="8"/>
      <c r="K53" s="8"/>
      <c r="L53"/>
      <c r="M53"/>
      <c r="N53" s="2"/>
      <c r="P53"/>
    </row>
    <row r="54" spans="3:16" ht="21" customHeight="1" thickBot="1">
      <c r="H54" s="11"/>
      <c r="I54" s="6"/>
      <c r="J54" s="8"/>
      <c r="K54" s="8"/>
      <c r="L54"/>
      <c r="M54"/>
      <c r="N54" s="2"/>
      <c r="P54"/>
    </row>
    <row r="55" spans="3:16" ht="21" customHeight="1" thickBot="1">
      <c r="H55" s="11"/>
      <c r="I55" s="6"/>
      <c r="J55" s="8"/>
      <c r="K55" s="8"/>
      <c r="L55"/>
      <c r="M55"/>
      <c r="N55" s="2"/>
      <c r="P55"/>
    </row>
    <row r="56" spans="3:16" ht="21" customHeight="1" thickBot="1">
      <c r="H56" s="11"/>
      <c r="I56" s="6"/>
      <c r="J56" s="8"/>
      <c r="K56" s="8"/>
      <c r="L56"/>
      <c r="M56"/>
      <c r="N56" s="2"/>
      <c r="P56"/>
    </row>
    <row r="57" spans="3:16" ht="21" customHeight="1" thickBot="1">
      <c r="H57" s="11"/>
      <c r="I57" s="6"/>
      <c r="J57" s="8"/>
      <c r="K57" s="8"/>
      <c r="L57"/>
      <c r="M57"/>
      <c r="N57" s="2"/>
      <c r="P57"/>
    </row>
    <row r="58" spans="3:16" ht="21" customHeight="1" thickBot="1">
      <c r="I58" s="6"/>
      <c r="J58" s="8"/>
      <c r="K58" s="8"/>
      <c r="L58"/>
    </row>
    <row r="59" spans="3:16" ht="21" customHeight="1" thickBot="1">
      <c r="I59" s="6"/>
      <c r="J59" s="8"/>
      <c r="K59" s="8"/>
    </row>
    <row r="60" spans="3:16" ht="21" customHeight="1" thickBot="1">
      <c r="H60" s="11"/>
      <c r="I60" s="6"/>
      <c r="J60"/>
      <c r="K60"/>
    </row>
    <row r="61" spans="3:16" ht="21" customHeight="1" thickBot="1">
      <c r="H61" s="11"/>
      <c r="I61" s="6"/>
      <c r="J61"/>
      <c r="K61"/>
    </row>
    <row r="62" spans="3:16" ht="21" customHeight="1" thickBot="1">
      <c r="H62" s="11"/>
      <c r="I62" s="6"/>
      <c r="J62"/>
      <c r="K62"/>
    </row>
    <row r="63" spans="3:16" ht="21" customHeight="1" thickBot="1">
      <c r="H63" s="11"/>
      <c r="I63" s="6"/>
      <c r="J63"/>
      <c r="K63"/>
    </row>
    <row r="64" spans="3:16" ht="21" customHeight="1" thickBot="1">
      <c r="H64" s="11"/>
      <c r="I64" s="6"/>
      <c r="J64"/>
      <c r="K64"/>
    </row>
    <row r="65" spans="3:11" ht="21" customHeight="1" thickBot="1">
      <c r="H65" s="11"/>
      <c r="I65" s="6"/>
      <c r="J65"/>
      <c r="K65"/>
    </row>
    <row r="66" spans="3:11" ht="21" customHeight="1" thickBot="1">
      <c r="H66" s="11"/>
      <c r="I66" s="6"/>
      <c r="J66"/>
      <c r="K66"/>
    </row>
    <row r="75" spans="3:11" ht="21" customHeight="1">
      <c r="C75" s="3"/>
    </row>
    <row r="76" spans="3:11" ht="21" customHeight="1">
      <c r="C76" s="3"/>
    </row>
    <row r="77" spans="3:11" ht="21" customHeight="1">
      <c r="C77" s="3"/>
    </row>
    <row r="78" spans="3:11" ht="21" customHeight="1">
      <c r="C78" s="3"/>
    </row>
    <row r="79" spans="3:11" ht="21" customHeight="1">
      <c r="C79" s="3"/>
    </row>
    <row r="82" spans="1:8" ht="21" customHeight="1">
      <c r="A82" s="1"/>
      <c r="B82" s="1"/>
      <c r="C82" s="1"/>
      <c r="D82" s="1"/>
      <c r="H82" s="1"/>
    </row>
    <row r="89" spans="1:8" ht="21" customHeight="1">
      <c r="A89" s="1"/>
      <c r="B89" s="1"/>
      <c r="C89" s="1"/>
      <c r="D89" s="1"/>
      <c r="H89" s="1"/>
    </row>
  </sheetData>
  <mergeCells count="3">
    <mergeCell ref="B37:B38"/>
    <mergeCell ref="B20:B21"/>
    <mergeCell ref="B2:B3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O89"/>
  <sheetViews>
    <sheetView zoomScale="85" zoomScaleNormal="85" workbookViewId="0">
      <pane ySplit="1" topLeftCell="A2" activePane="bottomLeft" state="frozen"/>
      <selection activeCell="D1" sqref="D1"/>
      <selection pane="bottomLeft" activeCell="I16" sqref="I16"/>
    </sheetView>
  </sheetViews>
  <sheetFormatPr baseColWidth="10" defaultColWidth="15.42578125" defaultRowHeight="21" customHeight="1"/>
  <cols>
    <col min="1" max="1" width="15.42578125" style="2"/>
    <col min="2" max="2" width="37.7109375" style="4" customWidth="1"/>
    <col min="3" max="3" width="20.42578125" style="2" customWidth="1"/>
    <col min="4" max="4" width="21.42578125" style="2" customWidth="1"/>
    <col min="5" max="5" width="17.85546875" style="24" customWidth="1"/>
    <col min="6" max="6" width="15.42578125" style="2"/>
    <col min="7" max="7" width="25" style="2" customWidth="1"/>
    <col min="8" max="10" width="25.28515625" style="2" customWidth="1"/>
    <col min="11" max="12" width="15.42578125" style="2"/>
    <col min="14" max="16384" width="15.42578125" style="2"/>
  </cols>
  <sheetData>
    <row r="1" spans="1:11" ht="21" customHeight="1" thickBot="1">
      <c r="A1" s="1" t="s">
        <v>74</v>
      </c>
      <c r="B1" s="1" t="s">
        <v>0</v>
      </c>
      <c r="C1" s="1" t="s">
        <v>344</v>
      </c>
      <c r="D1" s="2" t="s">
        <v>339</v>
      </c>
      <c r="E1" s="1" t="s">
        <v>349</v>
      </c>
      <c r="F1" s="2" t="s">
        <v>152</v>
      </c>
      <c r="G1" s="1" t="s">
        <v>129</v>
      </c>
      <c r="H1" s="1" t="s">
        <v>195</v>
      </c>
      <c r="I1" s="1" t="s">
        <v>350</v>
      </c>
      <c r="J1" s="1" t="s">
        <v>347</v>
      </c>
      <c r="K1" s="2" t="s">
        <v>292</v>
      </c>
    </row>
    <row r="2" spans="1:11" ht="21" customHeight="1" thickBot="1">
      <c r="B2" s="39"/>
      <c r="G2" s="11"/>
      <c r="H2" s="18"/>
      <c r="I2" s="21"/>
      <c r="J2" s="21"/>
    </row>
    <row r="3" spans="1:11" ht="21" customHeight="1" thickBot="1">
      <c r="B3" s="39"/>
      <c r="G3" s="11"/>
      <c r="H3" s="18"/>
      <c r="I3" s="21"/>
      <c r="J3" s="21"/>
    </row>
    <row r="4" spans="1:11" ht="21" customHeight="1" thickBot="1">
      <c r="A4" s="2" t="s">
        <v>243</v>
      </c>
      <c r="B4" s="4" t="s">
        <v>420</v>
      </c>
      <c r="C4" s="2">
        <f>D4-E4</f>
        <v>3.1800000000000068</v>
      </c>
      <c r="D4" s="2">
        <v>180</v>
      </c>
      <c r="E4" s="24">
        <f>F4*42</f>
        <v>176.82</v>
      </c>
      <c r="F4" s="2">
        <f>J4+0.2</f>
        <v>4.21</v>
      </c>
      <c r="G4" s="11">
        <v>3.78</v>
      </c>
      <c r="H4" s="18">
        <v>3.8</v>
      </c>
      <c r="I4" s="21"/>
      <c r="J4" s="21">
        <v>4.01</v>
      </c>
      <c r="K4" s="2">
        <f>((F4/5)*0.71)+F4</f>
        <v>4.8078199999999995</v>
      </c>
    </row>
    <row r="5" spans="1:11" ht="21" customHeight="1" thickBot="1">
      <c r="A5" s="2" t="s">
        <v>243</v>
      </c>
      <c r="B5" s="4" t="s">
        <v>240</v>
      </c>
      <c r="C5" s="2">
        <f>D5-E5</f>
        <v>11.360000000000014</v>
      </c>
      <c r="D5" s="2">
        <v>365</v>
      </c>
      <c r="E5" s="24">
        <f>F5*42</f>
        <v>353.64</v>
      </c>
      <c r="F5" s="2">
        <f>J5+0.4</f>
        <v>8.42</v>
      </c>
      <c r="G5" s="11">
        <v>7.56</v>
      </c>
      <c r="H5" s="18">
        <v>7.6</v>
      </c>
      <c r="I5" s="21"/>
      <c r="J5" s="21">
        <v>8.02</v>
      </c>
      <c r="K5" s="2">
        <f t="shared" ref="K5:K14" si="0">((F5/5)*0.71)+F5</f>
        <v>9.6156399999999991</v>
      </c>
    </row>
    <row r="6" spans="1:11" ht="21" customHeight="1" thickBot="1">
      <c r="A6" s="2" t="s">
        <v>243</v>
      </c>
      <c r="B6" s="4" t="s">
        <v>260</v>
      </c>
      <c r="C6" s="2">
        <f t="shared" ref="C6:C14" si="1">D6-E6</f>
        <v>52.339999999999975</v>
      </c>
      <c r="D6" s="2">
        <v>440</v>
      </c>
      <c r="E6" s="24">
        <f t="shared" ref="E6:E14" si="2">F6*42</f>
        <v>387.66</v>
      </c>
      <c r="F6" s="2">
        <f>G6+0.4</f>
        <v>9.23</v>
      </c>
      <c r="G6" s="11">
        <v>8.83</v>
      </c>
      <c r="H6" s="18">
        <v>8.8699999999999992</v>
      </c>
      <c r="I6" s="21"/>
      <c r="J6" s="21"/>
      <c r="K6" s="2">
        <f t="shared" si="0"/>
        <v>10.540660000000001</v>
      </c>
    </row>
    <row r="7" spans="1:11" ht="21" customHeight="1" thickBot="1">
      <c r="A7" s="2" t="s">
        <v>243</v>
      </c>
      <c r="B7" s="4" t="s">
        <v>241</v>
      </c>
      <c r="C7" s="2">
        <f t="shared" si="1"/>
        <v>64.220000000000027</v>
      </c>
      <c r="D7" s="2">
        <v>530</v>
      </c>
      <c r="E7" s="24">
        <f t="shared" si="2"/>
        <v>465.78</v>
      </c>
      <c r="F7" s="2">
        <f>J7+0.4</f>
        <v>11.09</v>
      </c>
      <c r="G7" s="11">
        <v>10.09</v>
      </c>
      <c r="H7" s="18">
        <v>10.14</v>
      </c>
      <c r="I7" s="21"/>
      <c r="J7" s="21">
        <v>10.69</v>
      </c>
      <c r="K7" s="2">
        <f t="shared" si="0"/>
        <v>12.66478</v>
      </c>
    </row>
    <row r="8" spans="1:11" ht="21" customHeight="1" thickBot="1">
      <c r="A8" s="2" t="s">
        <v>243</v>
      </c>
      <c r="B8" s="4" t="s">
        <v>242</v>
      </c>
      <c r="C8" s="2">
        <f t="shared" si="1"/>
        <v>82.5</v>
      </c>
      <c r="D8" s="2">
        <v>660</v>
      </c>
      <c r="E8" s="24">
        <f t="shared" si="2"/>
        <v>577.5</v>
      </c>
      <c r="F8" s="2">
        <f>J8+0.4</f>
        <v>13.75</v>
      </c>
      <c r="G8" s="11">
        <v>12.61</v>
      </c>
      <c r="H8" s="18">
        <v>12.67</v>
      </c>
      <c r="I8" s="21">
        <v>13</v>
      </c>
      <c r="J8" s="21">
        <v>13.35</v>
      </c>
      <c r="K8" s="2">
        <f t="shared" si="0"/>
        <v>15.702500000000001</v>
      </c>
    </row>
    <row r="9" spans="1:11" ht="21" customHeight="1" thickBot="1">
      <c r="A9" s="2" t="s">
        <v>243</v>
      </c>
      <c r="B9" s="4" t="s">
        <v>261</v>
      </c>
      <c r="C9" s="2">
        <f t="shared" si="1"/>
        <v>40.360000000000127</v>
      </c>
      <c r="D9" s="2">
        <v>730</v>
      </c>
      <c r="E9" s="24">
        <f t="shared" si="2"/>
        <v>689.63999999999987</v>
      </c>
      <c r="F9" s="2">
        <f>J9+0.4</f>
        <v>16.419999999999998</v>
      </c>
      <c r="G9" s="11">
        <v>15.13</v>
      </c>
      <c r="H9" s="18">
        <v>15.21</v>
      </c>
      <c r="I9" s="21"/>
      <c r="J9" s="21">
        <v>16.02</v>
      </c>
      <c r="K9" s="2">
        <f t="shared" si="0"/>
        <v>18.751639999999998</v>
      </c>
    </row>
    <row r="10" spans="1:11" ht="21" customHeight="1" thickBot="1">
      <c r="A10" s="2" t="s">
        <v>243</v>
      </c>
      <c r="B10" s="4" t="s">
        <v>262</v>
      </c>
      <c r="C10" s="2">
        <f t="shared" si="1"/>
        <v>121.44000000000005</v>
      </c>
      <c r="D10" s="2">
        <v>990</v>
      </c>
      <c r="E10" s="24">
        <f t="shared" si="2"/>
        <v>868.56</v>
      </c>
      <c r="F10" s="2">
        <f>H10+0.4</f>
        <v>20.68</v>
      </c>
      <c r="G10" s="11">
        <v>20.18</v>
      </c>
      <c r="H10" s="18">
        <v>20.28</v>
      </c>
      <c r="I10" s="21"/>
      <c r="J10" s="21"/>
      <c r="K10" s="2">
        <f t="shared" si="0"/>
        <v>23.61656</v>
      </c>
    </row>
    <row r="11" spans="1:11" ht="21" customHeight="1" thickBot="1">
      <c r="A11" s="2" t="s">
        <v>243</v>
      </c>
      <c r="B11" s="4" t="s">
        <v>263</v>
      </c>
      <c r="C11" s="2">
        <f t="shared" si="1"/>
        <v>160.96000000000004</v>
      </c>
      <c r="D11" s="2">
        <v>1300</v>
      </c>
      <c r="E11" s="24">
        <f t="shared" si="2"/>
        <v>1139.04</v>
      </c>
      <c r="F11" s="2">
        <f>J11+0.4</f>
        <v>27.119999999999997</v>
      </c>
      <c r="G11" s="11">
        <v>25.22</v>
      </c>
      <c r="H11" s="18">
        <v>25.35</v>
      </c>
      <c r="I11" s="21">
        <v>25.99</v>
      </c>
      <c r="J11" s="21">
        <v>26.72</v>
      </c>
      <c r="K11" s="2">
        <f t="shared" si="0"/>
        <v>30.971039999999995</v>
      </c>
    </row>
    <row r="12" spans="1:11" ht="21" customHeight="1" thickBot="1">
      <c r="A12" s="2" t="s">
        <v>243</v>
      </c>
      <c r="B12" s="4" t="s">
        <v>264</v>
      </c>
      <c r="C12" s="2">
        <f t="shared" si="1"/>
        <v>185.55999999999995</v>
      </c>
      <c r="D12" s="2">
        <v>1480</v>
      </c>
      <c r="E12" s="24">
        <f t="shared" si="2"/>
        <v>1294.44</v>
      </c>
      <c r="F12" s="2">
        <f>H12+0.4</f>
        <v>30.82</v>
      </c>
      <c r="G12" s="11">
        <v>30.27</v>
      </c>
      <c r="H12" s="18">
        <v>30.42</v>
      </c>
      <c r="I12" s="21"/>
      <c r="J12" s="21"/>
      <c r="K12" s="2">
        <f t="shared" si="0"/>
        <v>35.196440000000003</v>
      </c>
    </row>
    <row r="13" spans="1:11" ht="21" customHeight="1" thickBot="1">
      <c r="A13" s="2" t="s">
        <v>243</v>
      </c>
      <c r="B13" s="4" t="s">
        <v>265</v>
      </c>
      <c r="C13" s="2">
        <f t="shared" si="1"/>
        <v>196.01999999999998</v>
      </c>
      <c r="D13" s="2">
        <v>1590</v>
      </c>
      <c r="E13" s="24">
        <f t="shared" si="2"/>
        <v>1393.98</v>
      </c>
      <c r="F13" s="2">
        <f>G13+0.4</f>
        <v>33.19</v>
      </c>
      <c r="G13" s="11">
        <v>32.79</v>
      </c>
      <c r="H13" s="18">
        <v>32.950000000000003</v>
      </c>
      <c r="I13" s="21"/>
      <c r="J13" s="21"/>
      <c r="K13" s="2">
        <f t="shared" si="0"/>
        <v>37.902979999999999</v>
      </c>
    </row>
    <row r="14" spans="1:11" ht="21" customHeight="1" thickBot="1">
      <c r="A14" s="2" t="s">
        <v>243</v>
      </c>
      <c r="B14" s="4" t="s">
        <v>266</v>
      </c>
      <c r="C14" s="2">
        <f t="shared" si="1"/>
        <v>130.26</v>
      </c>
      <c r="D14" s="2">
        <v>1830</v>
      </c>
      <c r="E14" s="24">
        <f t="shared" si="2"/>
        <v>1699.74</v>
      </c>
      <c r="F14" s="2">
        <f>J14+0.4</f>
        <v>40.47</v>
      </c>
      <c r="G14" s="11">
        <v>37.840000000000003</v>
      </c>
      <c r="H14" s="18">
        <v>38.020000000000003</v>
      </c>
      <c r="I14" s="21"/>
      <c r="J14" s="21">
        <v>40.07</v>
      </c>
      <c r="K14" s="2">
        <f t="shared" si="0"/>
        <v>46.216740000000001</v>
      </c>
    </row>
    <row r="15" spans="1:11" ht="21" customHeight="1">
      <c r="G15" s="11"/>
      <c r="H15" s="21"/>
      <c r="I15" s="21"/>
      <c r="J15" s="21"/>
    </row>
    <row r="16" spans="1:11" ht="21" customHeight="1">
      <c r="G16" s="11"/>
      <c r="H16" s="21"/>
      <c r="I16" s="21"/>
      <c r="J16" s="21"/>
    </row>
    <row r="17" spans="1:10" ht="21" customHeight="1">
      <c r="G17" s="11"/>
      <c r="H17" s="21"/>
      <c r="I17" s="21"/>
      <c r="J17" s="21"/>
    </row>
    <row r="18" spans="1:10" ht="21" customHeight="1">
      <c r="G18" s="11"/>
      <c r="H18" s="21"/>
      <c r="I18" s="21"/>
      <c r="J18" s="21"/>
    </row>
    <row r="19" spans="1:10" ht="21" customHeight="1" thickBot="1">
      <c r="A19" s="1"/>
      <c r="B19" s="1"/>
      <c r="C19" s="1"/>
      <c r="E19" s="1"/>
      <c r="G19" s="1"/>
      <c r="H19" s="1"/>
      <c r="I19" s="1"/>
      <c r="J19" s="1"/>
    </row>
    <row r="20" spans="1:10" ht="21" customHeight="1" thickBot="1">
      <c r="B20" s="39"/>
      <c r="G20" s="11"/>
      <c r="H20" s="18"/>
      <c r="I20" s="21"/>
      <c r="J20" s="21"/>
    </row>
    <row r="21" spans="1:10" ht="21" customHeight="1" thickBot="1">
      <c r="B21" s="39"/>
      <c r="G21" s="11"/>
      <c r="H21" s="18"/>
      <c r="I21" s="21"/>
      <c r="J21" s="21"/>
    </row>
    <row r="22" spans="1:10" ht="21" customHeight="1" thickBot="1">
      <c r="G22" s="11"/>
      <c r="H22" s="18"/>
      <c r="I22" s="21"/>
      <c r="J22" s="21"/>
    </row>
    <row r="23" spans="1:10" ht="21" customHeight="1" thickBot="1">
      <c r="G23" s="11"/>
      <c r="H23" s="18"/>
      <c r="I23" s="21"/>
      <c r="J23" s="21"/>
    </row>
    <row r="24" spans="1:10" ht="21" customHeight="1" thickBot="1">
      <c r="G24" s="11"/>
      <c r="H24" s="18"/>
      <c r="I24" s="21"/>
      <c r="J24" s="21"/>
    </row>
    <row r="25" spans="1:10" ht="21" customHeight="1" thickBot="1">
      <c r="G25" s="11"/>
      <c r="H25" s="18"/>
      <c r="I25" s="21"/>
      <c r="J25" s="21"/>
    </row>
    <row r="26" spans="1:10" ht="21" customHeight="1" thickBot="1">
      <c r="G26" s="11"/>
      <c r="H26" s="18"/>
      <c r="I26" s="21"/>
      <c r="J26" s="21"/>
    </row>
    <row r="27" spans="1:10" ht="21" customHeight="1" thickBot="1">
      <c r="G27" s="11"/>
      <c r="H27" s="18"/>
      <c r="I27" s="21"/>
      <c r="J27" s="21"/>
    </row>
    <row r="28" spans="1:10" ht="21" customHeight="1" thickBot="1">
      <c r="G28" s="11"/>
      <c r="H28" s="18"/>
      <c r="I28" s="21"/>
      <c r="J28" s="21"/>
    </row>
    <row r="29" spans="1:10" ht="21" customHeight="1" thickBot="1">
      <c r="G29" s="11"/>
      <c r="H29" s="18"/>
      <c r="I29" s="21"/>
      <c r="J29" s="21"/>
    </row>
    <row r="30" spans="1:10" ht="21" customHeight="1" thickBot="1">
      <c r="G30" s="11"/>
      <c r="H30" s="18"/>
      <c r="I30" s="21"/>
      <c r="J30" s="21"/>
    </row>
    <row r="31" spans="1:10" ht="21" customHeight="1" thickBot="1">
      <c r="G31" s="11"/>
      <c r="H31" s="18"/>
      <c r="I31" s="21"/>
      <c r="J31" s="21"/>
    </row>
    <row r="32" spans="1:10" ht="21" customHeight="1" thickBot="1">
      <c r="H32" s="6"/>
      <c r="I32" s="8"/>
      <c r="J32" s="8"/>
    </row>
    <row r="33" spans="1:13" ht="21" customHeight="1" thickBot="1">
      <c r="G33" s="11"/>
      <c r="H33" s="6"/>
      <c r="I33" s="8"/>
      <c r="J33" s="8"/>
    </row>
    <row r="34" spans="1:13" ht="21" customHeight="1" thickBot="1">
      <c r="G34" s="11"/>
      <c r="H34" s="6"/>
      <c r="I34" s="8"/>
      <c r="J34" s="8"/>
    </row>
    <row r="35" spans="1:13" ht="21" customHeight="1" thickBot="1">
      <c r="G35" s="11"/>
      <c r="H35" s="6"/>
      <c r="I35" s="8"/>
      <c r="J35" s="8"/>
    </row>
    <row r="36" spans="1:13" ht="21" customHeight="1" thickBot="1">
      <c r="A36" s="1"/>
      <c r="B36" s="1"/>
      <c r="C36" s="1"/>
      <c r="D36" s="1"/>
      <c r="E36" s="23"/>
      <c r="G36" s="1"/>
      <c r="H36" s="1"/>
      <c r="I36" s="1"/>
      <c r="J36" s="1"/>
      <c r="M36" s="2"/>
    </row>
    <row r="37" spans="1:13" ht="21" customHeight="1" thickBot="1">
      <c r="B37" s="39"/>
      <c r="H37" s="6"/>
      <c r="I37" s="8"/>
      <c r="J37" s="8"/>
      <c r="M37" s="2"/>
    </row>
    <row r="38" spans="1:13" ht="21" customHeight="1" thickBot="1">
      <c r="B38" s="39"/>
      <c r="H38" s="6"/>
      <c r="I38" s="8"/>
      <c r="J38" s="8"/>
      <c r="M38" s="2"/>
    </row>
    <row r="39" spans="1:13" ht="21" customHeight="1" thickBot="1">
      <c r="G39" s="11"/>
      <c r="H39" s="18"/>
      <c r="I39" s="21"/>
      <c r="J39" s="21"/>
      <c r="M39" s="2"/>
    </row>
    <row r="40" spans="1:13" ht="21" customHeight="1" thickBot="1">
      <c r="G40" s="11"/>
      <c r="H40" s="18"/>
      <c r="I40" s="21"/>
      <c r="J40" s="21"/>
      <c r="M40" s="2"/>
    </row>
    <row r="41" spans="1:13" ht="21" customHeight="1" thickBot="1">
      <c r="G41" s="11"/>
      <c r="H41" s="18"/>
      <c r="I41" s="21"/>
      <c r="J41" s="21"/>
      <c r="M41" s="2"/>
    </row>
    <row r="42" spans="1:13" ht="21" customHeight="1" thickBot="1">
      <c r="G42" s="11"/>
      <c r="H42" s="18"/>
      <c r="I42" s="21"/>
      <c r="J42" s="21"/>
      <c r="M42" s="2"/>
    </row>
    <row r="43" spans="1:13" ht="21" customHeight="1" thickBot="1">
      <c r="G43" s="11"/>
      <c r="H43" s="18"/>
      <c r="I43" s="21"/>
      <c r="J43" s="21"/>
      <c r="M43" s="2"/>
    </row>
    <row r="44" spans="1:13" ht="21" customHeight="1" thickBot="1">
      <c r="G44" s="11"/>
      <c r="H44" s="18"/>
      <c r="I44" s="21"/>
      <c r="J44" s="21"/>
      <c r="M44" s="2"/>
    </row>
    <row r="45" spans="1:13" ht="21" customHeight="1" thickBot="1">
      <c r="G45" s="11"/>
      <c r="H45" s="18"/>
      <c r="I45" s="21"/>
      <c r="J45" s="21"/>
      <c r="M45" s="2"/>
    </row>
    <row r="46" spans="1:13" ht="21" customHeight="1" thickBot="1">
      <c r="G46" s="11"/>
      <c r="H46" s="18"/>
      <c r="I46" s="21"/>
      <c r="J46" s="21"/>
      <c r="M46" s="2"/>
    </row>
    <row r="47" spans="1:13" ht="21" customHeight="1" thickBot="1">
      <c r="G47" s="11"/>
      <c r="H47" s="18"/>
      <c r="I47" s="21"/>
      <c r="J47" s="21"/>
      <c r="M47" s="2"/>
    </row>
    <row r="48" spans="1:13" ht="21" customHeight="1" thickBot="1">
      <c r="G48" s="11"/>
      <c r="H48" s="18"/>
      <c r="I48" s="21"/>
      <c r="J48" s="21"/>
      <c r="M48" s="2"/>
    </row>
    <row r="49" spans="7:15" ht="21" customHeight="1" thickBot="1">
      <c r="H49" s="6"/>
      <c r="I49" s="8"/>
      <c r="J49" s="8"/>
    </row>
    <row r="50" spans="7:15" ht="21" customHeight="1" thickBot="1">
      <c r="H50" s="6"/>
      <c r="I50" s="8"/>
      <c r="J50" s="8"/>
    </row>
    <row r="51" spans="7:15" ht="21" customHeight="1" thickBot="1">
      <c r="G51" s="11"/>
      <c r="H51" s="6"/>
      <c r="I51" s="8"/>
      <c r="J51" s="8"/>
      <c r="K51"/>
      <c r="L51"/>
      <c r="M51" s="2"/>
      <c r="O51"/>
    </row>
    <row r="52" spans="7:15" ht="21" customHeight="1" thickBot="1">
      <c r="G52" s="11"/>
      <c r="H52" s="6"/>
      <c r="I52" s="8"/>
      <c r="J52" s="8"/>
      <c r="K52"/>
      <c r="L52"/>
      <c r="M52" s="2"/>
      <c r="O52"/>
    </row>
    <row r="53" spans="7:15" ht="21" customHeight="1" thickBot="1">
      <c r="G53" s="11"/>
      <c r="H53" s="6"/>
      <c r="I53" s="8"/>
      <c r="J53" s="8"/>
      <c r="K53"/>
      <c r="L53"/>
      <c r="M53" s="2"/>
      <c r="O53"/>
    </row>
    <row r="54" spans="7:15" ht="21" customHeight="1" thickBot="1">
      <c r="G54" s="11"/>
      <c r="H54" s="6"/>
      <c r="I54" s="8"/>
      <c r="J54" s="8"/>
      <c r="K54"/>
      <c r="L54"/>
      <c r="M54" s="2"/>
      <c r="O54"/>
    </row>
    <row r="55" spans="7:15" ht="21" customHeight="1" thickBot="1">
      <c r="G55" s="11"/>
      <c r="H55" s="6"/>
      <c r="I55" s="8"/>
      <c r="J55" s="8"/>
      <c r="K55"/>
      <c r="L55"/>
      <c r="M55" s="2"/>
      <c r="O55"/>
    </row>
    <row r="56" spans="7:15" ht="21" customHeight="1" thickBot="1">
      <c r="G56" s="11"/>
      <c r="H56" s="6"/>
      <c r="I56" s="8"/>
      <c r="J56" s="8"/>
      <c r="K56"/>
      <c r="L56"/>
      <c r="M56" s="2"/>
      <c r="O56"/>
    </row>
    <row r="57" spans="7:15" ht="21" customHeight="1" thickBot="1">
      <c r="G57" s="11"/>
      <c r="H57" s="6"/>
      <c r="I57" s="8"/>
      <c r="J57" s="8"/>
      <c r="K57"/>
      <c r="L57"/>
      <c r="M57" s="2"/>
      <c r="O57"/>
    </row>
    <row r="58" spans="7:15" ht="21" customHeight="1" thickBot="1">
      <c r="H58" s="6"/>
      <c r="I58" s="8"/>
      <c r="J58" s="8"/>
      <c r="K58"/>
    </row>
    <row r="59" spans="7:15" ht="21" customHeight="1" thickBot="1">
      <c r="H59" s="6"/>
      <c r="I59" s="8"/>
      <c r="J59" s="8"/>
    </row>
    <row r="60" spans="7:15" ht="21" customHeight="1" thickBot="1">
      <c r="G60" s="11"/>
      <c r="H60" s="6"/>
      <c r="I60"/>
      <c r="J60"/>
    </row>
    <row r="61" spans="7:15" ht="21" customHeight="1" thickBot="1">
      <c r="G61" s="11"/>
      <c r="H61" s="6"/>
      <c r="I61"/>
      <c r="J61"/>
    </row>
    <row r="62" spans="7:15" ht="21" customHeight="1" thickBot="1">
      <c r="G62" s="11"/>
      <c r="H62" s="6"/>
      <c r="I62"/>
      <c r="J62"/>
    </row>
    <row r="63" spans="7:15" ht="21" customHeight="1" thickBot="1">
      <c r="G63" s="11"/>
      <c r="H63" s="6"/>
      <c r="I63"/>
      <c r="J63"/>
    </row>
    <row r="64" spans="7:15" ht="21" customHeight="1" thickBot="1">
      <c r="G64" s="11"/>
      <c r="H64" s="6"/>
      <c r="I64"/>
      <c r="J64"/>
    </row>
    <row r="65" spans="7:10" ht="21" customHeight="1" thickBot="1">
      <c r="G65" s="11"/>
      <c r="H65" s="6"/>
      <c r="I65"/>
      <c r="J65"/>
    </row>
    <row r="66" spans="7:10" ht="21" customHeight="1" thickBot="1">
      <c r="G66" s="11"/>
      <c r="H66" s="6"/>
      <c r="I66"/>
      <c r="J66"/>
    </row>
    <row r="82" spans="1:7" ht="21" customHeight="1">
      <c r="A82" s="1"/>
      <c r="B82" s="1"/>
      <c r="C82" s="1"/>
      <c r="G82" s="1"/>
    </row>
    <row r="89" spans="1:7" ht="21" customHeight="1">
      <c r="A89" s="1"/>
      <c r="B89" s="1"/>
      <c r="C89" s="1"/>
      <c r="G89" s="1"/>
    </row>
  </sheetData>
  <mergeCells count="3">
    <mergeCell ref="B2:B3"/>
    <mergeCell ref="B20:B21"/>
    <mergeCell ref="B37:B38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O88"/>
  <sheetViews>
    <sheetView zoomScale="85" zoomScaleNormal="85" workbookViewId="0">
      <pane ySplit="1" topLeftCell="A2" activePane="bottomLeft" state="frozen"/>
      <selection activeCell="D1" sqref="D1"/>
      <selection pane="bottomLeft" activeCell="G28" sqref="G28"/>
    </sheetView>
  </sheetViews>
  <sheetFormatPr baseColWidth="10" defaultColWidth="15.42578125" defaultRowHeight="21" customHeight="1"/>
  <cols>
    <col min="1" max="1" width="15.42578125" style="28"/>
    <col min="2" max="2" width="37.7109375" style="33" customWidth="1"/>
    <col min="3" max="3" width="16.28515625" style="28" bestFit="1" customWidth="1"/>
    <col min="4" max="4" width="11.85546875" style="28" bestFit="1" customWidth="1"/>
    <col min="5" max="5" width="21" style="27" bestFit="1" customWidth="1"/>
    <col min="6" max="6" width="18.7109375" style="28" bestFit="1" customWidth="1"/>
    <col min="7" max="7" width="25" style="28" customWidth="1"/>
    <col min="8" max="10" width="25.28515625" style="28" customWidth="1"/>
    <col min="11" max="12" width="15.42578125" style="28"/>
    <col min="13" max="13" width="15.42578125" style="32"/>
    <col min="14" max="16384" width="15.42578125" style="28"/>
  </cols>
  <sheetData>
    <row r="1" spans="1:13" ht="21" customHeight="1">
      <c r="A1" s="28" t="s">
        <v>74</v>
      </c>
      <c r="B1" s="28" t="s">
        <v>0</v>
      </c>
      <c r="C1" s="28" t="s">
        <v>5</v>
      </c>
      <c r="D1" s="28" t="s">
        <v>344</v>
      </c>
      <c r="E1" s="29" t="s">
        <v>4</v>
      </c>
      <c r="F1" s="28" t="s">
        <v>348</v>
      </c>
      <c r="G1" s="28" t="s">
        <v>152</v>
      </c>
      <c r="H1" s="28" t="s">
        <v>129</v>
      </c>
      <c r="I1" s="28" t="s">
        <v>195</v>
      </c>
      <c r="J1" s="28" t="s">
        <v>237</v>
      </c>
      <c r="K1" s="28" t="s">
        <v>347</v>
      </c>
      <c r="L1" s="28" t="s">
        <v>292</v>
      </c>
      <c r="M1" s="28"/>
    </row>
    <row r="2" spans="1:13" ht="21" customHeight="1">
      <c r="B2" s="40">
        <v>1</v>
      </c>
      <c r="G2" s="30"/>
      <c r="H2" s="31"/>
      <c r="I2" s="31"/>
      <c r="J2" s="31"/>
    </row>
    <row r="3" spans="1:13" ht="21" customHeight="1">
      <c r="B3" s="40"/>
      <c r="G3" s="30"/>
      <c r="H3" s="31"/>
      <c r="I3" s="31"/>
      <c r="J3" s="31"/>
    </row>
    <row r="4" spans="1:13" ht="21" customHeight="1">
      <c r="A4" s="28" t="s">
        <v>251</v>
      </c>
      <c r="B4" s="33" t="s">
        <v>244</v>
      </c>
      <c r="C4" s="28" t="s">
        <v>6</v>
      </c>
      <c r="E4" s="29">
        <v>270</v>
      </c>
      <c r="F4" s="32"/>
      <c r="G4" s="28">
        <v>6</v>
      </c>
      <c r="H4" s="30">
        <v>5.94</v>
      </c>
      <c r="I4" s="31"/>
      <c r="J4" s="31"/>
    </row>
    <row r="5" spans="1:13" ht="21" customHeight="1">
      <c r="A5" s="28" t="s">
        <v>251</v>
      </c>
      <c r="B5" s="33" t="s">
        <v>245</v>
      </c>
      <c r="C5" s="28" t="s">
        <v>10</v>
      </c>
      <c r="E5" s="29">
        <v>530</v>
      </c>
      <c r="F5" s="32"/>
      <c r="G5" s="28">
        <v>12</v>
      </c>
      <c r="H5" s="30">
        <v>11.89</v>
      </c>
      <c r="I5" s="31"/>
      <c r="J5" s="31"/>
    </row>
    <row r="6" spans="1:13" ht="21" customHeight="1">
      <c r="A6" s="28" t="s">
        <v>251</v>
      </c>
      <c r="B6" s="33" t="s">
        <v>246</v>
      </c>
      <c r="C6" s="28" t="s">
        <v>14</v>
      </c>
      <c r="E6" s="29">
        <v>1050</v>
      </c>
      <c r="F6" s="32"/>
      <c r="G6" s="28">
        <v>24</v>
      </c>
      <c r="H6" s="30">
        <v>23.78</v>
      </c>
      <c r="I6" s="31"/>
      <c r="J6" s="31"/>
    </row>
    <row r="7" spans="1:13" ht="21" customHeight="1">
      <c r="A7" s="28" t="s">
        <v>251</v>
      </c>
      <c r="B7" s="33" t="s">
        <v>247</v>
      </c>
      <c r="C7" s="28" t="s">
        <v>17</v>
      </c>
      <c r="E7" s="29">
        <v>2570</v>
      </c>
      <c r="F7" s="32"/>
      <c r="G7" s="28">
        <v>60</v>
      </c>
      <c r="H7" s="30">
        <v>59.44</v>
      </c>
      <c r="I7" s="31"/>
      <c r="J7" s="31"/>
    </row>
    <row r="8" spans="1:13" ht="21" customHeight="1">
      <c r="A8" s="28" t="s">
        <v>251</v>
      </c>
      <c r="B8" s="33" t="s">
        <v>248</v>
      </c>
      <c r="C8" s="28" t="s">
        <v>236</v>
      </c>
      <c r="E8" s="29">
        <v>3830</v>
      </c>
      <c r="F8" s="32"/>
      <c r="G8" s="28">
        <v>90</v>
      </c>
      <c r="H8" s="30">
        <v>89.16</v>
      </c>
      <c r="I8" s="31"/>
      <c r="J8" s="31"/>
    </row>
    <row r="9" spans="1:13" ht="21" customHeight="1">
      <c r="A9" s="28" t="s">
        <v>251</v>
      </c>
      <c r="B9" s="33" t="s">
        <v>249</v>
      </c>
      <c r="C9" s="28" t="s">
        <v>20</v>
      </c>
      <c r="E9" s="29">
        <v>5050</v>
      </c>
      <c r="F9" s="32"/>
      <c r="G9" s="28">
        <v>119</v>
      </c>
      <c r="H9" s="30">
        <v>118.88</v>
      </c>
      <c r="I9" s="31"/>
      <c r="J9" s="31"/>
    </row>
    <row r="10" spans="1:13" ht="21" customHeight="1">
      <c r="A10" s="28" t="s">
        <v>251</v>
      </c>
      <c r="B10" s="33" t="s">
        <v>250</v>
      </c>
      <c r="C10" s="28" t="s">
        <v>131</v>
      </c>
      <c r="E10" s="29">
        <v>7570</v>
      </c>
      <c r="F10" s="32"/>
      <c r="G10" s="28">
        <v>179</v>
      </c>
      <c r="H10" s="30">
        <v>178.32</v>
      </c>
      <c r="I10" s="31"/>
      <c r="J10" s="31"/>
    </row>
    <row r="11" spans="1:13" ht="21" customHeight="1">
      <c r="G11" s="30"/>
      <c r="H11" s="31"/>
      <c r="I11" s="31"/>
      <c r="J11" s="31"/>
    </row>
    <row r="12" spans="1:13" ht="21" customHeight="1">
      <c r="G12" s="30"/>
      <c r="H12" s="31"/>
      <c r="I12" s="31"/>
      <c r="J12" s="31"/>
    </row>
    <row r="13" spans="1:13" ht="21" customHeight="1">
      <c r="A13" s="28" t="s">
        <v>74</v>
      </c>
      <c r="B13" s="28" t="s">
        <v>0</v>
      </c>
      <c r="C13" s="28" t="s">
        <v>5</v>
      </c>
      <c r="D13" s="28" t="s">
        <v>344</v>
      </c>
      <c r="E13" s="29" t="s">
        <v>4</v>
      </c>
      <c r="F13" s="28" t="s">
        <v>348</v>
      </c>
      <c r="G13" s="28" t="s">
        <v>152</v>
      </c>
      <c r="H13" s="28" t="s">
        <v>129</v>
      </c>
      <c r="I13" s="28" t="s">
        <v>195</v>
      </c>
      <c r="J13" s="28" t="s">
        <v>237</v>
      </c>
      <c r="K13" s="28" t="s">
        <v>347</v>
      </c>
      <c r="L13" s="28" t="s">
        <v>292</v>
      </c>
      <c r="M13" s="28"/>
    </row>
    <row r="14" spans="1:13" ht="21" customHeight="1">
      <c r="G14" s="30"/>
      <c r="H14" s="31"/>
      <c r="I14" s="31"/>
      <c r="J14" s="31"/>
    </row>
    <row r="15" spans="1:13" ht="21" customHeight="1">
      <c r="B15" s="40">
        <v>2</v>
      </c>
      <c r="G15" s="30"/>
      <c r="H15" s="31"/>
      <c r="I15" s="31"/>
      <c r="J15" s="31"/>
    </row>
    <row r="16" spans="1:13" ht="21" customHeight="1">
      <c r="B16" s="40"/>
      <c r="G16" s="30"/>
      <c r="H16" s="31"/>
      <c r="I16" s="31"/>
      <c r="J16" s="31"/>
    </row>
    <row r="17" spans="1:12" ht="21" customHeight="1">
      <c r="A17" s="28" t="s">
        <v>251</v>
      </c>
      <c r="B17" s="33" t="s">
        <v>244</v>
      </c>
      <c r="C17" s="28" t="s">
        <v>6</v>
      </c>
      <c r="D17" s="28">
        <f>E17-F17</f>
        <v>39.399999999999977</v>
      </c>
      <c r="E17" s="27">
        <v>325</v>
      </c>
      <c r="F17" s="28">
        <f>G17*42</f>
        <v>285.60000000000002</v>
      </c>
      <c r="G17" s="30">
        <f>J17+0.4</f>
        <v>6.8000000000000007</v>
      </c>
      <c r="H17" s="31">
        <v>6.03</v>
      </c>
      <c r="I17" s="31">
        <v>6.06</v>
      </c>
      <c r="J17" s="31">
        <v>6.4</v>
      </c>
      <c r="L17" s="28">
        <f>((G17/5)*0.71)+G17</f>
        <v>7.7656000000000009</v>
      </c>
    </row>
    <row r="18" spans="1:12" ht="21" customHeight="1">
      <c r="A18" s="28" t="s">
        <v>251</v>
      </c>
      <c r="B18" s="33" t="s">
        <v>245</v>
      </c>
      <c r="C18" s="28" t="s">
        <v>10</v>
      </c>
      <c r="D18" s="28">
        <f t="shared" ref="D18:D23" si="0">E18-F18</f>
        <v>77.699999999999932</v>
      </c>
      <c r="E18" s="27">
        <v>630</v>
      </c>
      <c r="F18" s="28">
        <f t="shared" ref="F18:F23" si="1">G18*42</f>
        <v>552.30000000000007</v>
      </c>
      <c r="G18" s="30">
        <f>J18+0.4</f>
        <v>13.15</v>
      </c>
      <c r="H18" s="28">
        <v>12.07</v>
      </c>
      <c r="I18" s="28">
        <v>12.13</v>
      </c>
      <c r="J18" s="28">
        <v>12.75</v>
      </c>
      <c r="L18" s="28">
        <f t="shared" ref="L18:L23" si="2">((G18/5)*0.71)+G18</f>
        <v>15.017300000000001</v>
      </c>
    </row>
    <row r="19" spans="1:12" ht="21" customHeight="1">
      <c r="A19" s="28" t="s">
        <v>251</v>
      </c>
      <c r="B19" s="33" t="s">
        <v>246</v>
      </c>
      <c r="C19" s="28" t="s">
        <v>14</v>
      </c>
      <c r="D19" s="28">
        <f t="shared" si="0"/>
        <v>144.27999999999997</v>
      </c>
      <c r="E19" s="27">
        <v>1180</v>
      </c>
      <c r="F19" s="28">
        <f t="shared" si="1"/>
        <v>1035.72</v>
      </c>
      <c r="G19" s="30">
        <f>I19+0.4</f>
        <v>24.66</v>
      </c>
      <c r="H19" s="31">
        <v>24.15</v>
      </c>
      <c r="I19" s="31">
        <v>24.26</v>
      </c>
      <c r="J19" s="31"/>
      <c r="L19" s="28">
        <f t="shared" si="2"/>
        <v>28.161719999999999</v>
      </c>
    </row>
    <row r="20" spans="1:12" ht="21" customHeight="1">
      <c r="A20" s="28" t="s">
        <v>251</v>
      </c>
      <c r="B20" s="33" t="s">
        <v>247</v>
      </c>
      <c r="C20" s="28" t="s">
        <v>17</v>
      </c>
      <c r="D20" s="28">
        <f t="shared" si="0"/>
        <v>380.03999999999996</v>
      </c>
      <c r="E20" s="27">
        <v>3000</v>
      </c>
      <c r="F20" s="28">
        <f t="shared" si="1"/>
        <v>2619.96</v>
      </c>
      <c r="G20" s="30">
        <f t="shared" ref="G20:G22" si="3">J20+0.4</f>
        <v>62.379999999999995</v>
      </c>
      <c r="H20" s="31">
        <v>60.38</v>
      </c>
      <c r="I20" s="31">
        <v>60.66</v>
      </c>
      <c r="J20" s="31">
        <v>61.98</v>
      </c>
      <c r="L20" s="28">
        <f t="shared" si="2"/>
        <v>71.237959999999987</v>
      </c>
    </row>
    <row r="21" spans="1:12" ht="21" customHeight="1">
      <c r="A21" s="28" t="s">
        <v>251</v>
      </c>
      <c r="B21" s="33" t="s">
        <v>248</v>
      </c>
      <c r="C21" s="28" t="s">
        <v>236</v>
      </c>
      <c r="D21" s="28">
        <f t="shared" si="0"/>
        <v>541.61999999999989</v>
      </c>
      <c r="E21" s="27">
        <v>4380</v>
      </c>
      <c r="F21" s="28">
        <f t="shared" si="1"/>
        <v>3838.38</v>
      </c>
      <c r="G21" s="30">
        <f>I21+0.4</f>
        <v>91.39</v>
      </c>
      <c r="H21" s="31">
        <v>90.58</v>
      </c>
      <c r="I21" s="31">
        <v>90.99</v>
      </c>
      <c r="J21" s="31"/>
      <c r="L21" s="28">
        <f t="shared" si="2"/>
        <v>104.36738</v>
      </c>
    </row>
    <row r="22" spans="1:12" ht="21" customHeight="1">
      <c r="A22" s="28" t="s">
        <v>251</v>
      </c>
      <c r="B22" s="33" t="s">
        <v>249</v>
      </c>
      <c r="C22" s="28" t="s">
        <v>20</v>
      </c>
      <c r="D22" s="28">
        <f t="shared" si="0"/>
        <v>743.09999999999945</v>
      </c>
      <c r="E22" s="27">
        <v>5970</v>
      </c>
      <c r="F22" s="28">
        <f t="shared" si="1"/>
        <v>5226.9000000000005</v>
      </c>
      <c r="G22" s="30">
        <f t="shared" si="3"/>
        <v>124.45</v>
      </c>
      <c r="H22" s="31">
        <v>120.77</v>
      </c>
      <c r="I22" s="31">
        <v>121.32</v>
      </c>
      <c r="J22" s="31">
        <v>124.05</v>
      </c>
      <c r="L22" s="28">
        <f t="shared" si="2"/>
        <v>142.12190000000001</v>
      </c>
    </row>
    <row r="23" spans="1:12" ht="21" customHeight="1">
      <c r="A23" s="28" t="s">
        <v>251</v>
      </c>
      <c r="B23" s="33" t="s">
        <v>250</v>
      </c>
      <c r="C23" s="28" t="s">
        <v>131</v>
      </c>
      <c r="D23" s="28">
        <f t="shared" si="0"/>
        <v>1089.619999999999</v>
      </c>
      <c r="E23" s="27">
        <v>8750</v>
      </c>
      <c r="F23" s="28">
        <f t="shared" si="1"/>
        <v>7660.380000000001</v>
      </c>
      <c r="G23" s="30">
        <f>I23+0.4</f>
        <v>182.39000000000001</v>
      </c>
      <c r="H23" s="31">
        <v>181.15</v>
      </c>
      <c r="I23" s="31">
        <v>181.99</v>
      </c>
      <c r="J23" s="31"/>
      <c r="L23" s="28">
        <f t="shared" si="2"/>
        <v>208.28938000000002</v>
      </c>
    </row>
    <row r="24" spans="1:12" ht="21" customHeight="1">
      <c r="G24" s="30"/>
      <c r="H24" s="31"/>
      <c r="I24" s="31"/>
      <c r="J24" s="31"/>
    </row>
    <row r="25" spans="1:12" ht="21" customHeight="1">
      <c r="G25" s="30"/>
      <c r="H25" s="31"/>
      <c r="I25" s="31"/>
      <c r="J25" s="31"/>
    </row>
    <row r="26" spans="1:12" ht="21" customHeight="1">
      <c r="G26" s="30"/>
      <c r="H26" s="31"/>
      <c r="I26" s="31"/>
      <c r="J26" s="31"/>
    </row>
    <row r="27" spans="1:12" ht="21" customHeight="1">
      <c r="G27" s="30"/>
      <c r="H27" s="31"/>
      <c r="I27" s="31"/>
      <c r="J27" s="31"/>
    </row>
    <row r="28" spans="1:12" ht="21" customHeight="1">
      <c r="G28" s="30"/>
      <c r="H28" s="31"/>
      <c r="I28" s="31"/>
      <c r="J28" s="31"/>
    </row>
    <row r="29" spans="1:12" ht="21" customHeight="1">
      <c r="G29" s="30"/>
      <c r="H29" s="31"/>
      <c r="I29" s="31"/>
      <c r="J29" s="31"/>
    </row>
    <row r="30" spans="1:12" ht="21" customHeight="1">
      <c r="G30" s="30"/>
      <c r="H30" s="31"/>
      <c r="I30" s="31"/>
      <c r="J30" s="31"/>
    </row>
    <row r="31" spans="1:12" ht="21" customHeight="1">
      <c r="H31" s="34"/>
      <c r="I31" s="34"/>
      <c r="J31" s="34"/>
    </row>
    <row r="32" spans="1:12" ht="21" customHeight="1">
      <c r="G32" s="30"/>
      <c r="H32" s="34"/>
      <c r="I32" s="34"/>
      <c r="J32" s="34"/>
    </row>
    <row r="33" spans="2:13" ht="21" customHeight="1">
      <c r="G33" s="30"/>
      <c r="H33" s="34"/>
      <c r="I33" s="34"/>
      <c r="J33" s="34"/>
    </row>
    <row r="34" spans="2:13" ht="21" customHeight="1">
      <c r="G34" s="30"/>
      <c r="H34" s="34"/>
      <c r="I34" s="34"/>
      <c r="J34" s="34"/>
    </row>
    <row r="35" spans="2:13" ht="21" customHeight="1">
      <c r="B35" s="28"/>
      <c r="M35" s="28"/>
    </row>
    <row r="36" spans="2:13" ht="21" customHeight="1">
      <c r="B36" s="40"/>
      <c r="H36" s="34"/>
      <c r="I36" s="34"/>
      <c r="J36" s="34"/>
      <c r="M36" s="28"/>
    </row>
    <row r="37" spans="2:13" ht="21" customHeight="1">
      <c r="B37" s="40"/>
      <c r="H37" s="34"/>
      <c r="I37" s="34"/>
      <c r="J37" s="34"/>
      <c r="M37" s="28"/>
    </row>
    <row r="38" spans="2:13" ht="21" customHeight="1">
      <c r="G38" s="30"/>
      <c r="H38" s="31"/>
      <c r="I38" s="31"/>
      <c r="J38" s="31"/>
      <c r="M38" s="28"/>
    </row>
    <row r="39" spans="2:13" ht="21" customHeight="1">
      <c r="G39" s="30"/>
      <c r="H39" s="31"/>
      <c r="I39" s="31"/>
      <c r="J39" s="31"/>
      <c r="M39" s="28"/>
    </row>
    <row r="40" spans="2:13" ht="21" customHeight="1">
      <c r="G40" s="30"/>
      <c r="H40" s="31"/>
      <c r="I40" s="31"/>
      <c r="J40" s="31"/>
      <c r="M40" s="28"/>
    </row>
    <row r="41" spans="2:13" ht="21" customHeight="1">
      <c r="G41" s="30"/>
      <c r="H41" s="31"/>
      <c r="I41" s="31"/>
      <c r="J41" s="31"/>
      <c r="M41" s="28"/>
    </row>
    <row r="42" spans="2:13" ht="21" customHeight="1">
      <c r="G42" s="30"/>
      <c r="H42" s="31"/>
      <c r="I42" s="31"/>
      <c r="J42" s="31"/>
      <c r="M42" s="28"/>
    </row>
    <row r="43" spans="2:13" ht="21" customHeight="1">
      <c r="G43" s="30"/>
      <c r="H43" s="31"/>
      <c r="I43" s="31"/>
      <c r="J43" s="31"/>
      <c r="M43" s="28"/>
    </row>
    <row r="44" spans="2:13" ht="21" customHeight="1">
      <c r="G44" s="30"/>
      <c r="H44" s="31"/>
      <c r="I44" s="31"/>
      <c r="J44" s="31"/>
      <c r="M44" s="28"/>
    </row>
    <row r="45" spans="2:13" ht="21" customHeight="1">
      <c r="G45" s="30"/>
      <c r="H45" s="31"/>
      <c r="I45" s="31"/>
      <c r="J45" s="31"/>
      <c r="M45" s="28"/>
    </row>
    <row r="46" spans="2:13" ht="21" customHeight="1">
      <c r="G46" s="30"/>
      <c r="H46" s="31"/>
      <c r="I46" s="31"/>
      <c r="J46" s="31"/>
      <c r="M46" s="28"/>
    </row>
    <row r="47" spans="2:13" ht="21" customHeight="1">
      <c r="G47" s="30"/>
      <c r="H47" s="31"/>
      <c r="I47" s="31"/>
      <c r="J47" s="31"/>
      <c r="M47" s="28"/>
    </row>
    <row r="48" spans="2:13" ht="21" customHeight="1">
      <c r="H48" s="34"/>
      <c r="I48" s="34"/>
      <c r="J48" s="34"/>
    </row>
    <row r="49" spans="7:15" ht="21" customHeight="1">
      <c r="H49" s="34"/>
      <c r="I49" s="34"/>
      <c r="J49" s="34"/>
    </row>
    <row r="50" spans="7:15" ht="21" customHeight="1">
      <c r="G50" s="30"/>
      <c r="H50" s="34"/>
      <c r="I50" s="34"/>
      <c r="J50" s="34"/>
      <c r="K50" s="32"/>
      <c r="L50" s="32"/>
      <c r="M50" s="28"/>
      <c r="O50" s="32"/>
    </row>
    <row r="51" spans="7:15" ht="21" customHeight="1">
      <c r="G51" s="30"/>
      <c r="H51" s="34"/>
      <c r="I51" s="34"/>
      <c r="J51" s="34"/>
      <c r="K51" s="32"/>
      <c r="L51" s="32"/>
      <c r="M51" s="28"/>
      <c r="O51" s="32"/>
    </row>
    <row r="52" spans="7:15" ht="21" customHeight="1">
      <c r="G52" s="30"/>
      <c r="H52" s="34"/>
      <c r="I52" s="34"/>
      <c r="J52" s="34"/>
      <c r="K52" s="32"/>
      <c r="L52" s="32"/>
      <c r="M52" s="28"/>
      <c r="O52" s="32"/>
    </row>
    <row r="53" spans="7:15" ht="21" customHeight="1">
      <c r="G53" s="30"/>
      <c r="H53" s="34"/>
      <c r="I53" s="34"/>
      <c r="J53" s="34"/>
      <c r="K53" s="32"/>
      <c r="L53" s="32"/>
      <c r="M53" s="28"/>
      <c r="O53" s="32"/>
    </row>
    <row r="54" spans="7:15" ht="21" customHeight="1">
      <c r="G54" s="30"/>
      <c r="H54" s="34"/>
      <c r="I54" s="34"/>
      <c r="J54" s="34"/>
      <c r="K54" s="32"/>
      <c r="L54" s="32"/>
      <c r="M54" s="28"/>
      <c r="O54" s="32"/>
    </row>
    <row r="55" spans="7:15" ht="21" customHeight="1">
      <c r="G55" s="30"/>
      <c r="H55" s="34"/>
      <c r="I55" s="34"/>
      <c r="J55" s="34"/>
      <c r="K55" s="32"/>
      <c r="L55" s="32"/>
      <c r="M55" s="28"/>
      <c r="O55" s="32"/>
    </row>
    <row r="56" spans="7:15" ht="21" customHeight="1">
      <c r="G56" s="30"/>
      <c r="H56" s="34"/>
      <c r="I56" s="34"/>
      <c r="J56" s="34"/>
      <c r="K56" s="32"/>
      <c r="L56" s="32"/>
      <c r="M56" s="28"/>
      <c r="O56" s="32"/>
    </row>
    <row r="57" spans="7:15" ht="21" customHeight="1">
      <c r="H57" s="34"/>
      <c r="I57" s="34"/>
      <c r="J57" s="34"/>
      <c r="K57" s="32"/>
    </row>
    <row r="58" spans="7:15" ht="21" customHeight="1">
      <c r="H58" s="34"/>
      <c r="I58" s="34"/>
      <c r="J58" s="34"/>
    </row>
    <row r="59" spans="7:15" ht="21" customHeight="1">
      <c r="G59" s="30"/>
      <c r="H59" s="34"/>
      <c r="I59" s="32"/>
      <c r="J59" s="32"/>
    </row>
    <row r="60" spans="7:15" ht="21" customHeight="1">
      <c r="G60" s="30"/>
      <c r="H60" s="34"/>
      <c r="I60" s="32"/>
      <c r="J60" s="32"/>
    </row>
    <row r="61" spans="7:15" ht="21" customHeight="1">
      <c r="G61" s="30"/>
      <c r="H61" s="34"/>
      <c r="I61" s="32"/>
      <c r="J61" s="32"/>
    </row>
    <row r="62" spans="7:15" ht="21" customHeight="1">
      <c r="G62" s="30"/>
      <c r="H62" s="34"/>
      <c r="I62" s="32"/>
      <c r="J62" s="32"/>
    </row>
    <row r="63" spans="7:15" ht="21" customHeight="1">
      <c r="G63" s="30"/>
      <c r="H63" s="34"/>
      <c r="I63" s="32"/>
      <c r="J63" s="32"/>
    </row>
    <row r="64" spans="7:15" ht="21" customHeight="1">
      <c r="G64" s="30"/>
      <c r="H64" s="34"/>
      <c r="I64" s="32"/>
      <c r="J64" s="32"/>
    </row>
    <row r="65" spans="7:10" ht="21" customHeight="1">
      <c r="G65" s="30"/>
      <c r="H65" s="34"/>
      <c r="I65" s="32"/>
      <c r="J65" s="32"/>
    </row>
    <row r="81" spans="2:2" ht="21" customHeight="1">
      <c r="B81" s="28"/>
    </row>
    <row r="88" spans="2:2" ht="21" customHeight="1">
      <c r="B88" s="28"/>
    </row>
  </sheetData>
  <mergeCells count="3">
    <mergeCell ref="B2:B3"/>
    <mergeCell ref="B36:B37"/>
    <mergeCell ref="B15:B16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2:O16"/>
  <sheetViews>
    <sheetView tabSelected="1" workbookViewId="0">
      <selection activeCell="G19" sqref="G19"/>
    </sheetView>
  </sheetViews>
  <sheetFormatPr baseColWidth="10" defaultColWidth="11.5703125" defaultRowHeight="18.75"/>
  <cols>
    <col min="1" max="1" width="11.5703125" style="36"/>
    <col min="2" max="2" width="16.7109375" style="36" bestFit="1" customWidth="1"/>
    <col min="3" max="3" width="16.140625" style="36" bestFit="1" customWidth="1"/>
    <col min="4" max="4" width="22.5703125" style="36" bestFit="1" customWidth="1"/>
    <col min="5" max="5" width="20.85546875" style="36" bestFit="1" customWidth="1"/>
    <col min="6" max="6" width="14.85546875" style="36" bestFit="1" customWidth="1"/>
    <col min="7" max="7" width="14.85546875" style="36" customWidth="1"/>
    <col min="8" max="8" width="12.5703125" style="36" bestFit="1" customWidth="1"/>
    <col min="9" max="16384" width="11.5703125" style="36"/>
  </cols>
  <sheetData>
    <row r="2" spans="1:15" s="28" customFormat="1" ht="21" customHeight="1">
      <c r="B2" s="38"/>
      <c r="C2" s="38"/>
      <c r="D2" s="38"/>
      <c r="E2" s="38"/>
      <c r="F2" s="38"/>
      <c r="G2" s="38"/>
      <c r="H2" s="38"/>
      <c r="I2" s="38"/>
      <c r="J2" s="38"/>
    </row>
    <row r="3" spans="1:15" s="19" customFormat="1">
      <c r="B3" s="19" t="s">
        <v>343</v>
      </c>
      <c r="C3" s="12" t="s">
        <v>437</v>
      </c>
      <c r="D3" s="12" t="s">
        <v>438</v>
      </c>
      <c r="E3" s="29" t="s">
        <v>4</v>
      </c>
      <c r="F3" s="29" t="s">
        <v>429</v>
      </c>
      <c r="G3" s="29" t="s">
        <v>430</v>
      </c>
      <c r="H3" s="19" t="s">
        <v>311</v>
      </c>
      <c r="I3" s="19" t="s">
        <v>433</v>
      </c>
      <c r="J3" s="19" t="s">
        <v>340</v>
      </c>
      <c r="N3" s="20"/>
      <c r="O3" s="20"/>
    </row>
    <row r="4" spans="1:15">
      <c r="A4" s="19"/>
      <c r="B4" s="19" t="s">
        <v>432</v>
      </c>
      <c r="C4" s="20">
        <f>J4+0.5</f>
        <v>10.68</v>
      </c>
      <c r="D4" s="19">
        <v>43</v>
      </c>
      <c r="E4" s="20">
        <f>C4*D4</f>
        <v>459.24</v>
      </c>
      <c r="F4" s="36">
        <f>E4*0.12</f>
        <v>55.108800000000002</v>
      </c>
      <c r="G4" s="20">
        <f>E4+F4</f>
        <v>514.34879999999998</v>
      </c>
      <c r="H4" s="19">
        <v>10.029999999999999</v>
      </c>
      <c r="I4" s="19">
        <v>10.02</v>
      </c>
      <c r="J4" s="19">
        <v>10.18</v>
      </c>
      <c r="K4" s="19"/>
      <c r="L4" s="19"/>
      <c r="M4" s="19"/>
      <c r="N4" s="19"/>
    </row>
    <row r="5" spans="1:15">
      <c r="A5" s="19"/>
      <c r="B5" s="37" t="s">
        <v>434</v>
      </c>
      <c r="C5" s="20">
        <f>J5+0.5</f>
        <v>25.95</v>
      </c>
      <c r="D5" s="19">
        <v>43</v>
      </c>
      <c r="E5" s="20">
        <f t="shared" ref="E5:E7" si="0">C5*D5</f>
        <v>1115.8499999999999</v>
      </c>
      <c r="F5" s="36">
        <f t="shared" ref="F5:F7" si="1">E5*0.12</f>
        <v>133.90199999999999</v>
      </c>
      <c r="G5" s="20">
        <f t="shared" ref="G5:G7" si="2">E5+F5</f>
        <v>1249.752</v>
      </c>
      <c r="H5" s="19">
        <v>25.37</v>
      </c>
      <c r="I5" s="19">
        <v>25.07</v>
      </c>
      <c r="J5" s="19">
        <v>25.45</v>
      </c>
      <c r="K5" s="19"/>
      <c r="L5" s="19"/>
      <c r="M5" s="19"/>
      <c r="N5" s="19"/>
    </row>
    <row r="6" spans="1:15">
      <c r="A6" s="19"/>
      <c r="B6" s="37" t="s">
        <v>435</v>
      </c>
      <c r="C6" s="20">
        <f>J6+0.5</f>
        <v>51.35</v>
      </c>
      <c r="D6" s="19">
        <v>43</v>
      </c>
      <c r="E6" s="20">
        <f t="shared" si="0"/>
        <v>2208.0500000000002</v>
      </c>
      <c r="F6" s="36">
        <f t="shared" si="1"/>
        <v>264.96600000000001</v>
      </c>
      <c r="G6" s="20">
        <f t="shared" si="2"/>
        <v>2473.0160000000001</v>
      </c>
      <c r="H6" s="19">
        <v>49.63</v>
      </c>
      <c r="I6" s="19">
        <v>50.15</v>
      </c>
      <c r="J6" s="19">
        <v>50.85</v>
      </c>
      <c r="K6" s="19"/>
      <c r="L6" s="19"/>
      <c r="M6" s="19"/>
      <c r="N6" s="19"/>
    </row>
    <row r="7" spans="1:15">
      <c r="A7" s="19"/>
      <c r="B7" s="37" t="s">
        <v>436</v>
      </c>
      <c r="C7" s="20">
        <f>J7+0.5</f>
        <v>101.78</v>
      </c>
      <c r="D7" s="19">
        <v>43</v>
      </c>
      <c r="E7" s="20">
        <f t="shared" si="0"/>
        <v>4376.54</v>
      </c>
      <c r="F7" s="36">
        <f t="shared" si="1"/>
        <v>525.1848</v>
      </c>
      <c r="G7" s="20">
        <f t="shared" si="2"/>
        <v>4901.7248</v>
      </c>
      <c r="H7" s="19">
        <v>99.62</v>
      </c>
      <c r="I7" s="19">
        <v>100.31</v>
      </c>
      <c r="J7" s="19">
        <v>101.28</v>
      </c>
      <c r="K7" s="19"/>
      <c r="L7" s="19"/>
      <c r="M7" s="19"/>
      <c r="N7" s="19"/>
    </row>
    <row r="15" spans="1:15">
      <c r="B15" s="19"/>
    </row>
    <row r="16" spans="1:15">
      <c r="B16" s="19"/>
    </row>
  </sheetData>
  <pageMargins left="0.7" right="0.7" top="0.75" bottom="0.75" header="0.3" footer="0.3"/>
  <pageSetup paperSize="9" scale="5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17</vt:i4>
      </vt:variant>
    </vt:vector>
  </HeadingPairs>
  <TitlesOfParts>
    <vt:vector size="17" baseType="lpstr">
      <vt:lpstr>Feuil1</vt:lpstr>
      <vt:lpstr>PUBG</vt:lpstr>
      <vt:lpstr>Anghami</vt:lpstr>
      <vt:lpstr>XBOX</vt:lpstr>
      <vt:lpstr>APP STORE</vt:lpstr>
      <vt:lpstr>FREEFIRE</vt:lpstr>
      <vt:lpstr>Nintendo</vt:lpstr>
      <vt:lpstr>CONSOL GAMENG</vt:lpstr>
      <vt:lpstr>APPLE Charge</vt:lpstr>
      <vt:lpstr>mobil charge </vt:lpstr>
      <vt:lpstr>Feuil2</vt:lpstr>
      <vt:lpstr>Feuil3</vt:lpstr>
      <vt:lpstr>VPN</vt:lpstr>
      <vt:lpstr>APP STORE (2)</vt:lpstr>
      <vt:lpstr>APP STORE (3)</vt:lpstr>
      <vt:lpstr>APPLE GER</vt:lpstr>
      <vt:lpstr>Roblox 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2026-03-05T21:31:44Z</dcterms:modified>
</cp:coreProperties>
</file>